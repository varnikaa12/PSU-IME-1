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tod\Documents\"/>
    </mc:Choice>
  </mc:AlternateContent>
  <xr:revisionPtr revIDLastSave="0" documentId="8_{3E94FD40-03E1-4B5C-81D7-5ABA76251D76}" xr6:coauthVersionLast="47" xr6:coauthVersionMax="47" xr10:uidLastSave="{00000000-0000-0000-0000-000000000000}"/>
  <bookViews>
    <workbookView xWindow="-110" yWindow="-110" windowWidth="19420" windowHeight="11500" xr2:uid="{D09D62B3-77C6-4028-B2D9-D9D6D8F402E2}"/>
  </bookViews>
  <sheets>
    <sheet name="Final BOM" sheetId="2" r:id="rId1"/>
    <sheet name="PCB BO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3" l="1"/>
  <c r="F44" i="3" s="1"/>
  <c r="F3" i="3"/>
  <c r="F4" i="3"/>
  <c r="F5" i="3"/>
  <c r="F6" i="3"/>
  <c r="F7" i="3"/>
  <c r="F8" i="3"/>
  <c r="F9" i="3"/>
  <c r="F10" i="3"/>
  <c r="F11" i="3"/>
  <c r="F12" i="3"/>
  <c r="F13" i="3"/>
  <c r="F14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C2" i="2"/>
  <c r="C3" i="2"/>
  <c r="C4" i="2"/>
  <c r="C5" i="2"/>
  <c r="C6" i="2"/>
  <c r="C7" i="2"/>
  <c r="C8" i="2"/>
  <c r="C9" i="2"/>
  <c r="C10" i="2"/>
  <c r="C11" i="2"/>
  <c r="C12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45" i="2"/>
</calcChain>
</file>

<file path=xl/sharedStrings.xml><?xml version="1.0" encoding="utf-8"?>
<sst xmlns="http://schemas.openxmlformats.org/spreadsheetml/2006/main" count="175" uniqueCount="167">
  <si>
    <t>TOTAL</t>
  </si>
  <si>
    <t>Bearing Mount</t>
  </si>
  <si>
    <t>Acrylic Sheet (16 x 24 x 0.25 in)</t>
  </si>
  <si>
    <t>Leg</t>
  </si>
  <si>
    <t>Servo Holder</t>
  </si>
  <si>
    <t>Lever Arm</t>
  </si>
  <si>
    <t>Break Beam Mount Inverse (goes on back of leg)</t>
  </si>
  <si>
    <t>Break Beam Mount (goes on rail)</t>
  </si>
  <si>
    <t>Camera Mounting Leg</t>
  </si>
  <si>
    <t>Camera Rail Mount</t>
  </si>
  <si>
    <t>Camera Lid</t>
  </si>
  <si>
    <t>DC Motor Stand</t>
  </si>
  <si>
    <t>Motor Side Adapter (DC Motor)</t>
  </si>
  <si>
    <t>Stepper Motor Stand</t>
  </si>
  <si>
    <t>Motor Side Adapter (stepper)</t>
  </si>
  <si>
    <t>Bearing Side Adapter</t>
  </si>
  <si>
    <t>Rail</t>
  </si>
  <si>
    <t>Rail for Ramp</t>
  </si>
  <si>
    <t>Long Rail</t>
  </si>
  <si>
    <t>Microswitch Holder</t>
  </si>
  <si>
    <t>PCB Cover</t>
  </si>
  <si>
    <t>PCB Holder (side)</t>
  </si>
  <si>
    <t>PCB Holder (Corner)</t>
  </si>
  <si>
    <t>Ramp with sidewalls</t>
  </si>
  <si>
    <t xml:space="preserve">4x Rubber Feet (does not need to be a specific part, just needs to provide ~1 inch of standoff) </t>
  </si>
  <si>
    <t>Washers</t>
  </si>
  <si>
    <t>26x #10-32 1-inch Bolts with Nuts and Bolts (M5 size also compatible)</t>
  </si>
  <si>
    <t>Gorilla Clear Max Super Glue (most glues compatible)</t>
  </si>
  <si>
    <t>Bearings</t>
  </si>
  <si>
    <t>Bearings (3)</t>
  </si>
  <si>
    <t>Digikey Link</t>
  </si>
  <si>
    <t>Microswitch</t>
  </si>
  <si>
    <t>Amazon Link</t>
  </si>
  <si>
    <t>Tank Treads (For the full set)</t>
  </si>
  <si>
    <t>Camera Module</t>
  </si>
  <si>
    <t>Through Beam (4)</t>
  </si>
  <si>
    <t>Servos (3)</t>
  </si>
  <si>
    <t>Stepper Motor</t>
  </si>
  <si>
    <t>AdvancedPCB Link</t>
  </si>
  <si>
    <t>PCB (1 board)</t>
  </si>
  <si>
    <t>(See PCB Parts List)</t>
  </si>
  <si>
    <t>PCB Components (For 1 board, look at PCB Parts List for more detail)</t>
  </si>
  <si>
    <t>Links</t>
  </si>
  <si>
    <t>Item Description</t>
  </si>
  <si>
    <t>Total</t>
  </si>
  <si>
    <t>Cost per Unit</t>
  </si>
  <si>
    <t>Quantity</t>
  </si>
  <si>
    <t>https://www.mouser.com/ProductDetail/Adafruit/85?qs=GURawfaeGuDpvKgGcAWEWQ%3D%3D</t>
  </si>
  <si>
    <t>https://www.digikey.com/en/products/detail/adafruit-industries-llc/85/5154649</t>
  </si>
  <si>
    <t>driver motor headers</t>
  </si>
  <si>
    <t>https://www.mouser.com/ProductDetail/Samtec/BCS-119-L-S-TE?qs=0lQeLiL1qya%252BYtumhpXrhg%3D%3D</t>
  </si>
  <si>
    <t>https://www.digikey.com/en/products/detail/sullins-connector-solutions/PPTC191LFBN-RC/810157</t>
  </si>
  <si>
    <t>ESP32 Headers</t>
  </si>
  <si>
    <t>Not used</t>
  </si>
  <si>
    <t>https://www.mouser.com/ProductDetail/StarTech/USB2AA1M?qs=PBDs2xEllI%252BGjA4r05Y5ag%3D%3D</t>
  </si>
  <si>
    <t>https://www.digikey.com/en/products/detail/my-cable-mart/FE-USB3-AA-06IN/24373315</t>
  </si>
  <si>
    <t>usb a to a cable</t>
  </si>
  <si>
    <t>https://www.mouser.com/ProductDetail/JST-Commercial/B2B-XH-ALFSN?qs=cdbOS8ANM9DdcSn9qRmfCw%3D%3D</t>
  </si>
  <si>
    <t>https://www.digikey.com/en/products/detail/jst-sales-america-inc/B2B-XH-A/1651045?gclsrc=aw.ds&amp;gad_source=1&amp;gad_campaignid=20470400566&amp;gclid=Cj0KCQjwp7jOBhDGARIsABe7C4c_WsQ2G0LOkYOt5Yrw1cs-QSr1RrYPIbljgzmdZZIshYE8xeih7lUaAqf6EALw_wcB</t>
  </si>
  <si>
    <t>jstxh 2 terminal</t>
  </si>
  <si>
    <t>https://www.mouser.com/ProductDetail/Adafruit/261?qs=GURawfaeGuDeA9XsXeF0ug%3D%3D</t>
  </si>
  <si>
    <t>https://www.digikey.com/en/products/detail/adafruit-industries-llc/261/5353586?gclsrc=aw.ds&amp;gad_source=1&amp;gad_campaignid=20243136172&amp;gclid=Cj0KCQjwp7jOBhDGARIsABe7C4fpsp-kbz2XC62TZosuvTBFyUfXjonNFVRrctwWIE7bW7TGkwqyjN8aAjETEALw_wcB</t>
  </si>
  <si>
    <t>wire to jstxh 2 terminal</t>
  </si>
  <si>
    <t>https://www.pololu.com/product/3474</t>
  </si>
  <si>
    <t>https://www.digikey.com/en/products/detail/pololu/3474/10450150</t>
  </si>
  <si>
    <t>12V motor</t>
  </si>
  <si>
    <t>https://www.mouser.com/ProductDetail/3M-Electronic-Solutions-Division/3811-10-300?qs=A3H9pljuJ8SsSXpt%252BYKMLw%3D%3D</t>
  </si>
  <si>
    <t>https://www.digikey.com/en/products/detail/3m/3811-10-300/1107526</t>
  </si>
  <si>
    <t>wires</t>
  </si>
  <si>
    <t>https://www.mouser.com/ProductDetail/Adafruit/4046?qs=vLWxofP3U2ybM%2FazkaSZDQ%3D%3D</t>
  </si>
  <si>
    <t>https://www.digikey.com/en/products/detail/adafruit-industries-llc/4046/9843409?gclsrc=aw.ds&amp;gad_source=1&amp;gad_campaignid=20232005509&amp;gclid=Cj0KCQjwp7jOBhDGARIsABe7C4ekw5Vb5KPgz4mMXqj0H9-j80_lnb24ebqs-hOk9h-AokMeO-Am6asaAumEEALw_wcB</t>
  </si>
  <si>
    <t>microswitch wire</t>
  </si>
  <si>
    <t>https://www.mouser.com/ProductDetail/Analog-Devices-Maxim-Integrated/CABLE-PH05?qs=QNEnbhJQKvYQUx11v6zYSQ%3D%3D</t>
  </si>
  <si>
    <t>https://www.digikey.com/en/products/detail/analog-devices-inc-maxim-integrated/CABLE-PH05/9381901?gclsrc=aw.ds&amp;gad_source=1&amp;gad_campaignid=20238352766&amp;gclid=CjwKCAjwhLPOBhBiEiwA8_wJHG9z4E11AK__HDN7JLBYhV0jSwvnHF2oNkmifh1GUcbhf-zCpnGT7xoCfMkQAvD_BwE</t>
  </si>
  <si>
    <t>wire to jstph</t>
  </si>
  <si>
    <t>https://www.mouser.com/ProductDetail/Adafruit/3950?qs=byeeYqUIh0P%2FtwUHCsW1%252BQ%3D%3D</t>
  </si>
  <si>
    <t>https://www.digikey.com/en/products/detail/adafruit-industries-llc/3950/9745249?gclsrc=aw.ds&amp;gad_source=1&amp;gad_campaignid=20243136172&amp;gclid=CjwKCAjwhLPOBhBiEiwA8_wJHGwYTnTMSRPlZwffpcqxNYi5cgP9bi9quaN0HOYUEuDy2f9J7QQJzhoCZLsQAvD_BwE</t>
  </si>
  <si>
    <t>wire to jstxh</t>
  </si>
  <si>
    <t>https://www.mouser.com/ProductDetail/Adafruit/5755?qs=mELouGlnn3enIDY14Zj52w%3D%3D</t>
  </si>
  <si>
    <t>https://www.digikey.com/en/products/detail/adafruit-industries-llc/5755/21839804?gclsrc=aw.ds&amp;gad_source=1&amp;gad_campaignid=20232005509&amp;gclid=CjwKCAjwhLPOBhBiEiwA8_wJHGPJwAMgbPRR2gQ7NxmKo0E6kNcNh1ZkE-DNVlgslKkYP8N6GYCKjBoCkTAQAvD_BwE</t>
  </si>
  <si>
    <t>breadboard to jstxh</t>
  </si>
  <si>
    <t>https://www.mouser.com/ProductDetail/Texas-Instruments/LM1117MPX-3.3-NOPB?qs=X1J7HmVL2ZHRbBIxXi4utg%3D%3D</t>
  </si>
  <si>
    <t>https://www.digikey.com/en/products/detail/evvo/AMS1117-3-3/22482148</t>
  </si>
  <si>
    <t>3.3v converter</t>
  </si>
  <si>
    <t>https://www.mouser.com/ProductDetail/Bourns/CR0603-FX-1301ELF?qs=e7cxVwPieuqy%252BILjxvjWKw%3D%3D</t>
  </si>
  <si>
    <t>https://www.digikey.com/en/products/detail/bourns-inc/CR0603-FX-1301ELF/3783719</t>
  </si>
  <si>
    <t>1.3k ohm</t>
  </si>
  <si>
    <t>https://www.mouser.com/ProductDetail/Bourns/CR0603-JW-102ELF?qs=rcPhh2wube3o3zlmFZCUPg%3D%3D</t>
  </si>
  <si>
    <t>https://www.digikey.com/en/products/detail/bourns-inc/CR0603-JW-102ELF/3741004</t>
  </si>
  <si>
    <t>1k ohm</t>
  </si>
  <si>
    <t>https://www.mouser.com/ProductDetail/Wurth-Elektronik/865080343009?qs=0KOYDY2FL28Gid9q%2FqirTQ%3D%3D</t>
  </si>
  <si>
    <t>https://www.digikey.com/en/products/detail/w%C3%BCrth-elektronik/865080343009/5728014</t>
  </si>
  <si>
    <t>100u cap</t>
  </si>
  <si>
    <t>https://www.mouser.com/ProductDetail/Bourns/CR0603-J-1R0ELF?qs=qoM5eaYTVMOn1x0%252BMzgpdg%3D%3D</t>
  </si>
  <si>
    <t>https://www.digikey.com/en/products/detail/bourns-inc/CR0603-J-1R0ELF/3784235?s=N4IgjCBcoEwAwA4CsVQGMoDMCGAbAzgKYA0IA9lANrgAEA8gBYC2%2BIAuqQA4AuUIAqgDsAltzqYAsoWz4ArgCdCIAL6kAtABZUIDJBwES5KuAQA2ZO2WqQMY-iYATGovzD83MvMtA</t>
  </si>
  <si>
    <t>1 ohm</t>
  </si>
  <si>
    <t>https://www.mouser.com/ProductDetail/KEMET/C0603C104K3RACTU?qs=l5k%252BbMnNDklvfdneglCDAg%3D%3D</t>
  </si>
  <si>
    <t>https://www.digikey.com/en/products/detail/kemet/C0603C104K3RACTU/416044</t>
  </si>
  <si>
    <t>100n cap</t>
  </si>
  <si>
    <t>https://www.digikey.com/en/products/detail/bourns-inc/CR0603-FX-1500ELF/3783747</t>
  </si>
  <si>
    <t xml:space="preserve">150 ohm </t>
  </si>
  <si>
    <t>https://www.mouser.com/ProductDetail/Nichicon/UWT1C471MNL1GS?qs=xhd8%2FJ0uCryvN24ScGEHow%3D%3D</t>
  </si>
  <si>
    <t>https://www.digikey.com/en/products/detail/nichicon/UWT1C471MNL1GS/589922</t>
  </si>
  <si>
    <t>470u cap</t>
  </si>
  <si>
    <t>https://www.mouser.com/ProductDetail/TAIYO-YUDEN/LMK107BBJ106MALT?qs=qEEMd6hQM8WopRGPMVpb1A%3D%3D</t>
  </si>
  <si>
    <t>https://www.digikey.com/en/products/detail/taiyo-yuden/LMK107BBJ106MALT/3662195</t>
  </si>
  <si>
    <t>10u cap</t>
  </si>
  <si>
    <t>https://www.mouser.com/ProductDetail/Nichicon/UUP1H0R1MCL1GS?qs=huzeVNXgovXvQmoxbanaNw%3D%3D</t>
  </si>
  <si>
    <t>https://www.digikey.com/en/products/detail/nichicon/UUP1H0R1MCL1GS/2550398</t>
  </si>
  <si>
    <t>1u cap</t>
  </si>
  <si>
    <t>https://www.mouser.com/ProductDetail/Murata-Electronics/GRM188R60J476ME15D?qs=AEetWsPH0It1A1GvJsMuyQ%3D%3D</t>
  </si>
  <si>
    <t>https://www.digikey.com/en/products/detail/murata-electronics/GRM188R60J476ME15D/5877410</t>
  </si>
  <si>
    <t>47u caps</t>
  </si>
  <si>
    <t>https://www.mouser.com/ProductDetail/Bourns/CR0603-FX-1002ELF?qs=K5ddiUFZPT6XHG0dQH96QA%3D%3D</t>
  </si>
  <si>
    <t>https://www.digikey.com/en/products/detail/bourns-inc/CR0603-FX-1002ELF/3593188</t>
  </si>
  <si>
    <t>10k ohm</t>
  </si>
  <si>
    <t>https://www.mouser.com/ProductDetail/YAGEO/RC0603FR-072K2L?qs=diQw95jMAeOQmNpe2MM%252BPw%3D%3D</t>
  </si>
  <si>
    <t>https://www.digikey.com/en/products/detail/yageo/RC0603FR-072K2L/727016</t>
  </si>
  <si>
    <t>2200 ohm</t>
  </si>
  <si>
    <t>NEW STUFF</t>
  </si>
  <si>
    <t>https://www.my4pcb.com/Net/Promotion/OrderFileUpload</t>
  </si>
  <si>
    <t>https://www.mouser.com/ProductDetail/Diodes-Incorporated/1N4002G-T?qs=rGAXPo9uwV1qqxEKGMICEQ%3D%3D</t>
  </si>
  <si>
    <t>https://www.digikey.com/en/products/detail/diodes-incorporated/1N4002G-T/128571</t>
  </si>
  <si>
    <t>1n-4002</t>
  </si>
  <si>
    <t>https://www.mouser.com/ProductDetail/Espressif-Systems/ESP32-DevKitC-32UE?qs=GedFDFLaBXFguOYDKoZ3jA%3D%3D</t>
  </si>
  <si>
    <t>https://www.digikey.com/en/products/detail/espressif-systems/ESP32-DEVKITC-32UE/12091813</t>
  </si>
  <si>
    <t>ESP32</t>
  </si>
  <si>
    <t>https://www.mouser.com/ProductDetail/JST-Commercial/B4B-XH-ALFSN?qs=cdbOS8ANM9CfC08d%252BywhFw%3D%3D</t>
  </si>
  <si>
    <t>https://www.digikey.com/en/products/detail/jst-sales-america-inc/B4B-XH-A/1651047</t>
  </si>
  <si>
    <t>4 terminal</t>
  </si>
  <si>
    <t>https://www.mouser.com/ProductDetail/onsemi/1N5232BTR?qs=DGF5YW3GH8v76EPDJz%252BMgQ%3D%3D</t>
  </si>
  <si>
    <t>https://www.digikey.com/en/products/detail/onsemi/1N5232BTR/458814</t>
  </si>
  <si>
    <t>zener diode</t>
  </si>
  <si>
    <t>https://www.mouser.com/ProductDetail/Diotec-Semiconductor/1N4004?qs=OlC7AqGiEDk3eaZusDVIWQ%3D%3D</t>
  </si>
  <si>
    <t>https://www.digikey.com/en/products/detail/diotec-semiconductor/1N4004/13164524</t>
  </si>
  <si>
    <t>1n4004 diode</t>
  </si>
  <si>
    <t>https://www.mouser.com/ProductDetail/Same-Sky/UJ2-AV-2-TH?qs=5mqXD9RfOg11MgnPL0cI2A%3D%3D</t>
  </si>
  <si>
    <t>https://www.digikey.com/en/products/detail/on-shore-technology-inc/USB-A1VSB6/2677749</t>
  </si>
  <si>
    <t>USB-A</t>
  </si>
  <si>
    <t>https://www.mouser.com/ProductDetail/Texas-Instruments/LM78L05ACZ-NOPB?qs=QbsRYf82W3H4YoemQv80Cg%3D%3D</t>
  </si>
  <si>
    <t>https://www.digikey.com/en/products/detail/texas-instruments/LM78L05ACZ-NOPB/6333</t>
  </si>
  <si>
    <t>convertor</t>
  </si>
  <si>
    <t>https://www.mouser.com/ProductDetail/JST-Commercial/S5B-PH-K-SLFSN?qs=cdbOS8ANM9BOhIq9dvlRZA%3D%3D</t>
  </si>
  <si>
    <t>https://www.digikey.com/en/products/detail/jst-sales-america-inc/S5B-PH-K-S/926629</t>
  </si>
  <si>
    <t>5 terminal</t>
  </si>
  <si>
    <t>https://www.mouser.com/ProductDetail/Vishay-Semiconductors/TCMT1100?qs=iFB%2FIts7N%252BB%2F3GkRaSvByw%3D%3D</t>
  </si>
  <si>
    <t>https://www.digikey.com/en/products/detail/vishay-semiconductor-opto-division/TCMT1100/1738630?s=N4IgTCBcDaIC4GMC2cCMqAMGQF0C%2BQA</t>
  </si>
  <si>
    <t>TCMT1100 (optocouplers)</t>
  </si>
  <si>
    <t>https://www.mouser.com/ProductDetail/Texas-Instruments/LM338T-NOPB?qs=X1J7HmVL2ZENaH7%2FMvkSlw%3D%3D</t>
  </si>
  <si>
    <t>https://www.digikey.com/en/products/detail/texas-instruments/LM338T-NOPB/212669</t>
  </si>
  <si>
    <t>buck convertor</t>
  </si>
  <si>
    <t>https://www.digikey.com/en/products/detail/pololu/2982/10450467</t>
  </si>
  <si>
    <t>https://www.pololu.com/product/2987</t>
  </si>
  <si>
    <t>https://www.digikey.com/en/products/detail/pololu/2987/10450470</t>
  </si>
  <si>
    <t>Stepper motor</t>
  </si>
  <si>
    <t>https://tlcelectronics.com/tlc-1749.html?srsltid=AfmBOopyOjyH8bEWsWBfMDUPuZ26uHmV9GUDG_vRr2p4O3ehQ12UWoV0</t>
  </si>
  <si>
    <t>https://www.mouser.com/ProductDetail/JST-Commercial/B3B-XH-AMLFSN?qs=cdbOS8ANM9B1j44d7kpaHQ%3D%3D</t>
  </si>
  <si>
    <t>https://www.digikey.com/en/products/detail/jst-sales-america-inc/B3B-XH-AM/1651029</t>
  </si>
  <si>
    <t>3-terminal</t>
  </si>
  <si>
    <t>https://www.mouser.com/ProductDetail/Phoenix-Contact/1985234?qs=A%2FKWGUWTCZgjCof%252B1YY92w%3D%3D</t>
  </si>
  <si>
    <t>https://www.digikey.com/en/products/detail/phoenix-contact/1985234/568663?curr=usd&amp;utm_campaign=buynow&amp;utm_medium=aggregator&amp;utm_source=octopart</t>
  </si>
  <si>
    <t>plc headers</t>
  </si>
  <si>
    <t>Notes</t>
  </si>
  <si>
    <t>Cost</t>
  </si>
  <si>
    <t>Mouser</t>
  </si>
  <si>
    <t>Digikey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</si>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</sst>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2" borderId="0" xfId="1" applyFill="1"/>
    <xf numFmtId="0" fontId="1" fillId="2" borderId="1" xfId="1" applyFill="1" applyBorder="1"/>
    <xf numFmtId="0" fontId="0" fillId="3" borderId="1" xfId="0" applyFill="1" applyBorder="1"/>
    <xf numFmtId="0" fontId="1" fillId="3" borderId="1" xfId="1" applyFill="1" applyBorder="1"/>
    <xf numFmtId="0" fontId="2" fillId="3" borderId="1" xfId="0" applyFont="1" applyFill="1" applyBorder="1"/>
    <xf numFmtId="0" fontId="1" fillId="0" borderId="0" xfId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echatronics-bearing-group/608-2RS-W-CHEVRONSRI2/9608369" TargetMode="External"/><Relationship Id="rId3" Type="http://schemas.openxmlformats.org/officeDocument/2006/relationships/hyperlink" Target="https://www.digikey.com/en/products/detail/adafruit-industries-llc/324/5022791" TargetMode="External"/><Relationship Id="rId7" Type="http://schemas.openxmlformats.org/officeDocument/2006/relationships/hyperlink" Target="https://www.digikey.com/en/products/detail/omron-electronics-inc-emc-div/SS-5GL13T/31113" TargetMode="External"/><Relationship Id="rId2" Type="http://schemas.openxmlformats.org/officeDocument/2006/relationships/hyperlink" Target="https://www.digikey.com/en/products/detail/adafruit-industries-llc/2168/8258463" TargetMode="External"/><Relationship Id="rId1" Type="http://schemas.openxmlformats.org/officeDocument/2006/relationships/hyperlink" Target="https://www.my4pcb.com/Net/Promotion/OrderFileUpload" TargetMode="External"/><Relationship Id="rId6" Type="http://schemas.openxmlformats.org/officeDocument/2006/relationships/hyperlink" Target="https://www.amazon.com/108Pcs-Technical-Motorcycle-Accessories-Building/dp/B0BKFQPS5T/ref=sr_1_5?crid=VHQ3YZ02O2ZS&amp;dib=eyJ2IjoiMSJ9.8n7N9fVoPIoMrep-l4jVZWVlZBPxpHZAoPMqWXrqxwFTW0FX43paBdxBz7QztYqt9k9XBPsK7BJlrmxCj2Cy5HlQmkZd2dTJ5cP8RyL_rgYCkK4-PURGjIaJ7rgyPmwKkTgo1zDVWbzmxTGlBnj7rrvjzM_fRyrhLgfpC_blbTSoDTypYeLB8gRDGRbuecKJNcDhvowbPrv41APAQFLhpTD5nAIkZbjR2pNdAhPA-oweijaXfB_mBjjOeQkXmO_e74TI99ygwP0fqIEW5UJadhcDjdIvQmZJjpvVdFnIwIs.0nTUIAsN8TPEI8y27hLX6FqiJtwqZ8KEnXxQCyIfsUo&amp;dib_tag=se&amp;keywords=lego+technical+tank+trank&amp;qid=1771450705&amp;s=toys-and-games&amp;sprefix=lego+technical+tank+trank%2Ctoys-and-games%2C151&amp;sr=1-5" TargetMode="External"/><Relationship Id="rId5" Type="http://schemas.openxmlformats.org/officeDocument/2006/relationships/hyperlink" Target="https://www.digikey.com/en/products/detail/adafruit-industries-llc/169/5154651" TargetMode="External"/><Relationship Id="rId4" Type="http://schemas.openxmlformats.org/officeDocument/2006/relationships/hyperlink" Target="https://www.digikey.com/en/products/detail/dfrobot/fit0729/13688349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w%C3%BCrth-elektronik/865080343009/5728014" TargetMode="External"/><Relationship Id="rId21" Type="http://schemas.openxmlformats.org/officeDocument/2006/relationships/hyperlink" Target="https://www.digikey.com/en/products/detail/taiyo-yuden/LMK107BBJ106MALT/3662195" TargetMode="External"/><Relationship Id="rId42" Type="http://schemas.openxmlformats.org/officeDocument/2006/relationships/hyperlink" Target="https://www.mouser.com/ProductDetail/JST-Commercial/S5B-PH-K-SLFSN?qs=cdbOS8ANM9BOhIq9dvlRZA%3D%3D" TargetMode="External"/><Relationship Id="rId47" Type="http://schemas.openxmlformats.org/officeDocument/2006/relationships/hyperlink" Target="https://www.mouser.com/ProductDetail/JST-Commercial/B4B-XH-ALFSN?qs=cdbOS8ANM9CfC08d%252BywhFw%3D%3D" TargetMode="External"/><Relationship Id="rId63" Type="http://schemas.openxmlformats.org/officeDocument/2006/relationships/hyperlink" Target="https://www.mouser.com/ProductDetail/Adafruit/5755?qs=mELouGlnn3enIDY14Zj52w%3D%3D" TargetMode="External"/><Relationship Id="rId68" Type="http://schemas.openxmlformats.org/officeDocument/2006/relationships/hyperlink" Target="https://www.pololu.com/product/3474" TargetMode="External"/><Relationship Id="rId16" Type="http://schemas.openxmlformats.org/officeDocument/2006/relationships/hyperlink" Target="https://www.my4pcb.com/Net/Promotion/OrderFileUpload" TargetMode="External"/><Relationship Id="rId11" Type="http://schemas.openxmlformats.org/officeDocument/2006/relationships/hyperlink" Target="https://www.digikey.com/en/products/detail/jst-sales-america-inc/B4B-XH-A/1651047" TargetMode="External"/><Relationship Id="rId24" Type="http://schemas.openxmlformats.org/officeDocument/2006/relationships/hyperlink" Target="https://www.digikey.com/en/products/detail/kemet/C0603C104K3RACTU/416044" TargetMode="External"/><Relationship Id="rId32" Type="http://schemas.openxmlformats.org/officeDocument/2006/relationships/hyperlink" Target="https://www.digikey.com/en/products/detail/analog-devices-inc-maxim-integrated/CABLE-PH05/9381901?gclsrc=aw.ds&amp;gad_source=1&amp;gad_campaignid=20238352766&amp;gclid=CjwKCAjwhLPOBhBiEiwA8_wJHG9z4E11AK__HDN7JLBYhV0jSwvnHF2oNkmifh1GUcbhf-zCpnGT7xoCfMkQAvD_BwE" TargetMode="External"/><Relationship Id="rId37" Type="http://schemas.openxmlformats.org/officeDocument/2006/relationships/hyperlink" Target="https://www.digikey.com/en/products/detail/jst-sales-america-inc/B2B-XH-A/1651045?gclsrc=aw.ds&amp;gad_source=1&amp;gad_campaignid=20470400566&amp;gclid=Cj0KCQjwp7jOBhDGARIsABe7C4c_WsQ2G0LOkYOt5Yrw1cs-QSr1RrYPIbljgzmdZZIshYE8xeih7lUaAqf6EALw_wcB" TargetMode="External"/><Relationship Id="rId40" Type="http://schemas.openxmlformats.org/officeDocument/2006/relationships/hyperlink" Target="https://www.mouser.com/ProductDetail/Texas-Instruments/LM338T-NOPB?qs=X1J7HmVL2ZENaH7%2FMvkSlw%3D%3D" TargetMode="External"/><Relationship Id="rId45" Type="http://schemas.openxmlformats.org/officeDocument/2006/relationships/hyperlink" Target="https://www.mouser.com/ProductDetail/Diotec-Semiconductor/1N4004?qs=OlC7AqGiEDk3eaZusDVIWQ%3D%3D" TargetMode="External"/><Relationship Id="rId53" Type="http://schemas.openxmlformats.org/officeDocument/2006/relationships/hyperlink" Target="https://www.mouser.com/ProductDetail/Nichicon/UUP1H0R1MCL1GS?qs=huzeVNXgovXvQmoxbanaNw%3D%3D" TargetMode="External"/><Relationship Id="rId58" Type="http://schemas.openxmlformats.org/officeDocument/2006/relationships/hyperlink" Target="https://www.mouser.com/ProductDetail/Bourns/CR0603-J-1R0ELF?qs=qoM5eaYTVMOn1x0%252BMzgpdg%3D%3D" TargetMode="External"/><Relationship Id="rId66" Type="http://schemas.openxmlformats.org/officeDocument/2006/relationships/hyperlink" Target="https://www.mouser.com/ProductDetail/Adafruit/4046?qs=vLWxofP3U2ybM%2FazkaSZDQ%3D%3D" TargetMode="External"/><Relationship Id="rId74" Type="http://schemas.openxmlformats.org/officeDocument/2006/relationships/hyperlink" Target="https://www.digikey.com/en/products/detail/my-cable-mart/FE-USB3-AA-06IN/24373315" TargetMode="External"/><Relationship Id="rId5" Type="http://schemas.openxmlformats.org/officeDocument/2006/relationships/hyperlink" Target="https://www.digikey.com/en/products/detail/vishay-semiconductor-opto-division/TCMT1100/1738630?s=N4IgTCBcDaIC4GMC2cCMqAMGQF0C%2BQA" TargetMode="External"/><Relationship Id="rId61" Type="http://schemas.openxmlformats.org/officeDocument/2006/relationships/hyperlink" Target="https://www.mouser.com/ProductDetail/Bourns/CR0603-FX-1301ELF?qs=e7cxVwPieuqy%252BILjxvjWKw%3D%3D" TargetMode="External"/><Relationship Id="rId19" Type="http://schemas.openxmlformats.org/officeDocument/2006/relationships/hyperlink" Target="https://www.digikey.com/en/products/detail/murata-electronics/GRM188R60J476ME15D/5877410" TargetMode="External"/><Relationship Id="rId14" Type="http://schemas.openxmlformats.org/officeDocument/2006/relationships/hyperlink" Target="https://www.digikey.com/en/products/detail/pololu/2982/10450467" TargetMode="External"/><Relationship Id="rId22" Type="http://schemas.openxmlformats.org/officeDocument/2006/relationships/hyperlink" Target="https://www.digikey.com/en/products/detail/nichicon/UWT1C471MNL1GS/589922" TargetMode="External"/><Relationship Id="rId27" Type="http://schemas.openxmlformats.org/officeDocument/2006/relationships/hyperlink" Target="https://www.digikey.com/en/products/detail/bourns-inc/CR0603-JW-102ELF/3741004" TargetMode="External"/><Relationship Id="rId30" Type="http://schemas.openxmlformats.org/officeDocument/2006/relationships/hyperlink" Target="https://www.digikey.com/en/products/detail/adafruit-industries-llc/5755/21839804?gclsrc=aw.ds&amp;gad_source=1&amp;gad_campaignid=20232005509&amp;gclid=CjwKCAjwhLPOBhBiEiwA8_wJHGPJwAMgbPRR2gQ7NxmKo0E6kNcNh1ZkE-DNVlgslKkYP8N6GYCKjBoCkTAQAvD_BwE" TargetMode="External"/><Relationship Id="rId35" Type="http://schemas.openxmlformats.org/officeDocument/2006/relationships/hyperlink" Target="https://www.digikey.com/en/products/detail/pololu/3474/10450150" TargetMode="External"/><Relationship Id="rId43" Type="http://schemas.openxmlformats.org/officeDocument/2006/relationships/hyperlink" Target="https://www.mouser.com/ProductDetail/Texas-Instruments/LM78L05ACZ-NOPB?qs=QbsRYf82W3H4YoemQv80Cg%3D%3D" TargetMode="External"/><Relationship Id="rId48" Type="http://schemas.openxmlformats.org/officeDocument/2006/relationships/hyperlink" Target="https://www.mouser.com/ProductDetail/Espressif-Systems/ESP32-DevKitC-32UE?qs=GedFDFLaBXFguOYDKoZ3jA%3D%3D" TargetMode="External"/><Relationship Id="rId56" Type="http://schemas.openxmlformats.org/officeDocument/2006/relationships/hyperlink" Target="https://www.mouser.com/ProductDetail/KEMET/C0603C104K3RACTU?qs=l5k%252BbMnNDklvfdneglCDAg%3D%3D" TargetMode="External"/><Relationship Id="rId64" Type="http://schemas.openxmlformats.org/officeDocument/2006/relationships/hyperlink" Target="https://www.mouser.com/ProductDetail/Adafruit/3950?qs=byeeYqUIh0P%2FtwUHCsW1%252BQ%3D%3D" TargetMode="External"/><Relationship Id="rId69" Type="http://schemas.openxmlformats.org/officeDocument/2006/relationships/hyperlink" Target="https://www.mouser.com/ProductDetail/Adafruit/261?qs=GURawfaeGuDeA9XsXeF0ug%3D%3D" TargetMode="External"/><Relationship Id="rId77" Type="http://schemas.openxmlformats.org/officeDocument/2006/relationships/hyperlink" Target="https://www.mouser.com/ProductDetail/Adafruit/85?qs=GURawfaeGuDpvKgGcAWEWQ%3D%3D" TargetMode="External"/><Relationship Id="rId8" Type="http://schemas.openxmlformats.org/officeDocument/2006/relationships/hyperlink" Target="https://www.digikey.com/en/products/detail/on-shore-technology-inc/USB-A1VSB6/2677749" TargetMode="External"/><Relationship Id="rId51" Type="http://schemas.openxmlformats.org/officeDocument/2006/relationships/hyperlink" Target="https://www.mouser.com/ProductDetail/Bourns/CR0603-FX-1002ELF?qs=K5ddiUFZPT6XHG0dQH96QA%3D%3D" TargetMode="External"/><Relationship Id="rId72" Type="http://schemas.openxmlformats.org/officeDocument/2006/relationships/hyperlink" Target="https://www.digikey.com/en/products/detail/sullins-connector-solutions/PPTC191LFBN-RC/810157" TargetMode="External"/><Relationship Id="rId3" Type="http://schemas.openxmlformats.org/officeDocument/2006/relationships/hyperlink" Target="https://www.digikey.com/en/products/detail/pololu/2987/10450470" TargetMode="External"/><Relationship Id="rId12" Type="http://schemas.openxmlformats.org/officeDocument/2006/relationships/hyperlink" Target="https://www.digikey.com/en/products/detail/espressif-systems/ESP32-DEVKITC-32UE/12091813" TargetMode="External"/><Relationship Id="rId17" Type="http://schemas.openxmlformats.org/officeDocument/2006/relationships/hyperlink" Target="https://www.digikey.com/en/products/detail/yageo/RC0603FR-072K2L/727016" TargetMode="External"/><Relationship Id="rId25" Type="http://schemas.openxmlformats.org/officeDocument/2006/relationships/hyperlink" Target="https://www.digikey.com/en/products/detail/bourns-inc/CR0603-J-1R0ELF/3784235?s=N4IgjCBcoEwAwA4CsVQGMoDMCGAbAzgKYA0IA9lANrgAEA8gBYC2%2BIAuqQA4AuUIAqgDsAltzqYAsoWz4ArgCdCIAL6kAtABZUIDJBwES5KuAQA2ZO2WqQMY-iYATGovzD83MvMtA" TargetMode="External"/><Relationship Id="rId33" Type="http://schemas.openxmlformats.org/officeDocument/2006/relationships/hyperlink" Target="https://www.digikey.com/en/products/detail/adafruit-industries-llc/4046/9843409?gclsrc=aw.ds&amp;gad_source=1&amp;gad_campaignid=20232005509&amp;gclid=Cj0KCQjwp7jOBhDGARIsABe7C4ekw5Vb5KPgz4mMXqj0H9-j80_lnb24ebqs-hOk9h-AokMeO-Am6asaAumEEALw_wcB" TargetMode="External"/><Relationship Id="rId38" Type="http://schemas.openxmlformats.org/officeDocument/2006/relationships/hyperlink" Target="https://www.mouser.com/ProductDetail/Phoenix-Contact/1985234?qs=A%2FKWGUWTCZgjCof%252B1YY92w%3D%3D" TargetMode="External"/><Relationship Id="rId46" Type="http://schemas.openxmlformats.org/officeDocument/2006/relationships/hyperlink" Target="https://www.mouser.com/ProductDetail/onsemi/1N5232BTR?qs=DGF5YW3GH8v76EPDJz%252BMgQ%3D%3D" TargetMode="External"/><Relationship Id="rId59" Type="http://schemas.openxmlformats.org/officeDocument/2006/relationships/hyperlink" Target="https://www.mouser.com/ProductDetail/Wurth-Elektronik/865080343009?qs=0KOYDY2FL28Gid9q%2FqirTQ%3D%3D" TargetMode="External"/><Relationship Id="rId67" Type="http://schemas.openxmlformats.org/officeDocument/2006/relationships/hyperlink" Target="https://www.mouser.com/ProductDetail/3M-Electronic-Solutions-Division/3811-10-300?qs=A3H9pljuJ8SsSXpt%252BYKMLw%3D%3D" TargetMode="External"/><Relationship Id="rId20" Type="http://schemas.openxmlformats.org/officeDocument/2006/relationships/hyperlink" Target="https://www.digikey.com/en/products/detail/nichicon/UUP1H0R1MCL1GS/2550398" TargetMode="External"/><Relationship Id="rId41" Type="http://schemas.openxmlformats.org/officeDocument/2006/relationships/hyperlink" Target="https://www.mouser.com/ProductDetail/Vishay-Semiconductors/TCMT1100?qs=iFB%2FIts7N%252BB%2F3GkRaSvByw%3D%3D" TargetMode="External"/><Relationship Id="rId54" Type="http://schemas.openxmlformats.org/officeDocument/2006/relationships/hyperlink" Target="https://www.mouser.com/ProductDetail/TAIYO-YUDEN/LMK107BBJ106MALT?qs=qEEMd6hQM8WopRGPMVpb1A%3D%3D" TargetMode="External"/><Relationship Id="rId62" Type="http://schemas.openxmlformats.org/officeDocument/2006/relationships/hyperlink" Target="https://www.mouser.com/ProductDetail/Texas-Instruments/LM1117MPX-3.3-NOPB?qs=X1J7HmVL2ZHRbBIxXi4utg%3D%3D" TargetMode="External"/><Relationship Id="rId70" Type="http://schemas.openxmlformats.org/officeDocument/2006/relationships/hyperlink" Target="https://www.mouser.com/ProductDetail/JST-Commercial/B2B-XH-ALFSN?qs=cdbOS8ANM9DdcSn9qRmfCw%3D%3D" TargetMode="External"/><Relationship Id="rId75" Type="http://schemas.openxmlformats.org/officeDocument/2006/relationships/hyperlink" Target="https://www.mouser.com/ProductDetail/StarTech/USB2AA1M?qs=PBDs2xEllI%252BGjA4r05Y5ag%3D%3D" TargetMode="External"/><Relationship Id="rId1" Type="http://schemas.openxmlformats.org/officeDocument/2006/relationships/hyperlink" Target="https://www.digikey.com/en/products/detail/phoenix-contact/1985234/568663?curr=usd&amp;utm_campaign=buynow&amp;utm_medium=aggregator&amp;utm_source=octopart" TargetMode="External"/><Relationship Id="rId6" Type="http://schemas.openxmlformats.org/officeDocument/2006/relationships/hyperlink" Target="https://www.digikey.com/en/products/detail/jst-sales-america-inc/S5B-PH-K-S/926629" TargetMode="External"/><Relationship Id="rId15" Type="http://schemas.openxmlformats.org/officeDocument/2006/relationships/hyperlink" Target="https://tlcelectronics.com/tlc-1749.html?srsltid=AfmBOopyOjyH8bEWsWBfMDUPuZ26uHmV9GUDG_vRr2p4O3ehQ12UWoV0" TargetMode="External"/><Relationship Id="rId23" Type="http://schemas.openxmlformats.org/officeDocument/2006/relationships/hyperlink" Target="https://www.digikey.com/en/products/detail/bourns-inc/CR0603-FX-1500ELF/3783747" TargetMode="External"/><Relationship Id="rId28" Type="http://schemas.openxmlformats.org/officeDocument/2006/relationships/hyperlink" Target="https://www.digikey.com/en/products/detail/bourns-inc/CR0603-FX-1301ELF/3783719" TargetMode="External"/><Relationship Id="rId36" Type="http://schemas.openxmlformats.org/officeDocument/2006/relationships/hyperlink" Target="https://www.digikey.com/en/products/detail/adafruit-industries-llc/261/5353586?gclsrc=aw.ds&amp;gad_source=1&amp;gad_campaignid=20243136172&amp;gclid=Cj0KCQjwp7jOBhDGARIsABe7C4fpsp-kbz2XC62TZosuvTBFyUfXjonNFVRrctwWIE7bW7TGkwqyjN8aAjETEALw_wcB" TargetMode="External"/><Relationship Id="rId49" Type="http://schemas.openxmlformats.org/officeDocument/2006/relationships/hyperlink" Target="https://www.mouser.com/ProductDetail/Diodes-Incorporated/1N4002G-T?qs=rGAXPo9uwV1qqxEKGMICEQ%3D%3D" TargetMode="External"/><Relationship Id="rId57" Type="http://schemas.openxmlformats.org/officeDocument/2006/relationships/hyperlink" Target="https://www.mouser.com/ProductDetail/KEMET/C0603C104K3RACTU?qs=l5k%252BbMnNDklvfdneglCDAg%3D%3D" TargetMode="External"/><Relationship Id="rId10" Type="http://schemas.openxmlformats.org/officeDocument/2006/relationships/hyperlink" Target="https://www.digikey.com/en/products/detail/onsemi/1N5232BTR/458814" TargetMode="External"/><Relationship Id="rId31" Type="http://schemas.openxmlformats.org/officeDocument/2006/relationships/hyperlink" Target="https://www.digikey.com/en/products/detail/adafruit-industries-llc/3950/9745249?gclsrc=aw.ds&amp;gad_source=1&amp;gad_campaignid=20243136172&amp;gclid=CjwKCAjwhLPOBhBiEiwA8_wJHGwYTnTMSRPlZwffpcqxNYi5cgP9bi9quaN0HOYUEuDy2f9J7QQJzhoCZLsQAvD_BwE" TargetMode="External"/><Relationship Id="rId44" Type="http://schemas.openxmlformats.org/officeDocument/2006/relationships/hyperlink" Target="https://www.mouser.com/ProductDetail/Same-Sky/UJ2-AV-2-TH?qs=5mqXD9RfOg11MgnPL0cI2A%3D%3D" TargetMode="External"/><Relationship Id="rId52" Type="http://schemas.openxmlformats.org/officeDocument/2006/relationships/hyperlink" Target="https://www.mouser.com/ProductDetail/Murata-Electronics/GRM188R60J476ME15D?qs=AEetWsPH0It1A1GvJsMuyQ%3D%3D" TargetMode="External"/><Relationship Id="rId60" Type="http://schemas.openxmlformats.org/officeDocument/2006/relationships/hyperlink" Target="https://www.mouser.com/ProductDetail/Bourns/CR0603-JW-102ELF?qs=rcPhh2wube3o3zlmFZCUPg%3D%3D" TargetMode="External"/><Relationship Id="rId65" Type="http://schemas.openxmlformats.org/officeDocument/2006/relationships/hyperlink" Target="https://www.mouser.com/ProductDetail/Analog-Devices-Maxim-Integrated/CABLE-PH05?qs=QNEnbhJQKvYQUx11v6zYSQ%3D%3D" TargetMode="External"/><Relationship Id="rId73" Type="http://schemas.openxmlformats.org/officeDocument/2006/relationships/hyperlink" Target="https://www.mouser.com/ProductDetail/Samtec/BCS-119-L-S-TE?qs=0lQeLiL1qya%252BYtumhpXrhg%3D%3D" TargetMode="External"/><Relationship Id="rId4" Type="http://schemas.openxmlformats.org/officeDocument/2006/relationships/hyperlink" Target="https://www.digikey.com/en/products/detail/texas-instruments/LM338T-NOPB/212669" TargetMode="External"/><Relationship Id="rId9" Type="http://schemas.openxmlformats.org/officeDocument/2006/relationships/hyperlink" Target="https://www.digikey.com/en/products/detail/diotec-semiconductor/1N4004/13164524" TargetMode="External"/><Relationship Id="rId13" Type="http://schemas.openxmlformats.org/officeDocument/2006/relationships/hyperlink" Target="https://www.digikey.com/en/products/detail/diodes-incorporated/1N4002G-T/128571" TargetMode="External"/><Relationship Id="rId18" Type="http://schemas.openxmlformats.org/officeDocument/2006/relationships/hyperlink" Target="https://www.digikey.com/en/products/detail/bourns-inc/CR0603-FX-1002ELF/3593188" TargetMode="External"/><Relationship Id="rId39" Type="http://schemas.openxmlformats.org/officeDocument/2006/relationships/hyperlink" Target="https://www.mouser.com/ProductDetail/JST-Commercial/B3B-XH-AMLFSN?qs=cdbOS8ANM9B1j44d7kpaHQ%3D%3D" TargetMode="External"/><Relationship Id="rId34" Type="http://schemas.openxmlformats.org/officeDocument/2006/relationships/hyperlink" Target="https://www.digikey.com/en/products/detail/3m/3811-10-300/1107526" TargetMode="External"/><Relationship Id="rId50" Type="http://schemas.openxmlformats.org/officeDocument/2006/relationships/hyperlink" Target="https://www.mouser.com/ProductDetail/YAGEO/RC0603FR-072K2L?qs=diQw95jMAeOQmNpe2MM%252BPw%3D%3D" TargetMode="External"/><Relationship Id="rId55" Type="http://schemas.openxmlformats.org/officeDocument/2006/relationships/hyperlink" Target="https://www.mouser.com/ProductDetail/Nichicon/UWT1C471MNL1GS?qs=xhd8%2FJ0uCryvN24ScGEHow%3D%3D" TargetMode="External"/><Relationship Id="rId76" Type="http://schemas.openxmlformats.org/officeDocument/2006/relationships/hyperlink" Target="https://www.digikey.com/en/products/detail/adafruit-industries-llc/85/5154649" TargetMode="External"/><Relationship Id="rId7" Type="http://schemas.openxmlformats.org/officeDocument/2006/relationships/hyperlink" Target="https://www.digikey.com/en/products/detail/texas-instruments/LM78L05ACZ-NOPB/6333" TargetMode="External"/><Relationship Id="rId71" Type="http://schemas.openxmlformats.org/officeDocument/2006/relationships/hyperlink" Target="https://www.pololu.com/product/2987" TargetMode="External"/><Relationship Id="rId2" Type="http://schemas.openxmlformats.org/officeDocument/2006/relationships/hyperlink" Target="https://www.digikey.com/en/products/detail/jst-sales-america-inc/B3B-XH-AM/1651029" TargetMode="External"/><Relationship Id="rId29" Type="http://schemas.openxmlformats.org/officeDocument/2006/relationships/hyperlink" Target="https://www.digikey.com/en/products/detail/evvo/AMS1117-3-3/224821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6751C-579F-4D8E-951B-922011D42D11}">
  <dimension ref="A1:E45"/>
  <sheetViews>
    <sheetView tabSelected="1" workbookViewId="0">
      <selection activeCell="E45" sqref="E45"/>
    </sheetView>
  </sheetViews>
  <sheetFormatPr defaultRowHeight="14.5" x14ac:dyDescent="0.35"/>
  <cols>
    <col min="1" max="1" width="8.7265625" customWidth="1"/>
    <col min="2" max="2" width="14.81640625" customWidth="1"/>
    <col min="3" max="3" width="16.26953125" customWidth="1"/>
    <col min="4" max="4" width="74.1796875" customWidth="1"/>
    <col min="5" max="5" width="38.453125" customWidth="1"/>
  </cols>
  <sheetData>
    <row r="1" spans="1:5" x14ac:dyDescent="0.35">
      <c r="A1" s="1" t="s">
        <v>46</v>
      </c>
      <c r="B1" s="1" t="s">
        <v>45</v>
      </c>
      <c r="C1" s="1" t="s">
        <v>44</v>
      </c>
      <c r="D1" s="2" t="s">
        <v>43</v>
      </c>
      <c r="E1" s="1" t="s">
        <v>42</v>
      </c>
    </row>
    <row r="2" spans="1:5" x14ac:dyDescent="0.35">
      <c r="A2" s="1">
        <v>1</v>
      </c>
      <c r="B2" s="1">
        <v>94.71</v>
      </c>
      <c r="C2" s="1">
        <f>(A2*B2)</f>
        <v>94.71</v>
      </c>
      <c r="D2" s="2" t="s">
        <v>41</v>
      </c>
      <c r="E2" s="1" t="s">
        <v>40</v>
      </c>
    </row>
    <row r="3" spans="1:5" x14ac:dyDescent="0.35">
      <c r="A3" s="1">
        <v>1</v>
      </c>
      <c r="B3" s="1">
        <v>33</v>
      </c>
      <c r="C3" s="1">
        <f>(A3*B3)</f>
        <v>33</v>
      </c>
      <c r="D3" s="2" t="s">
        <v>39</v>
      </c>
      <c r="E3" s="4" t="s">
        <v>38</v>
      </c>
    </row>
    <row r="4" spans="1:5" x14ac:dyDescent="0.35">
      <c r="A4" s="1">
        <v>1</v>
      </c>
      <c r="B4" s="1">
        <v>14</v>
      </c>
      <c r="C4" s="1">
        <f>(A4*B4)</f>
        <v>14</v>
      </c>
      <c r="D4" s="2" t="s">
        <v>37</v>
      </c>
      <c r="E4" s="4" t="s">
        <v>30</v>
      </c>
    </row>
    <row r="5" spans="1:5" x14ac:dyDescent="0.35">
      <c r="A5" s="1">
        <v>3</v>
      </c>
      <c r="B5" s="1">
        <v>5.95</v>
      </c>
      <c r="C5" s="1">
        <f>(A5*B5)</f>
        <v>17.850000000000001</v>
      </c>
      <c r="D5" s="2" t="s">
        <v>36</v>
      </c>
      <c r="E5" s="4" t="s">
        <v>30</v>
      </c>
    </row>
    <row r="6" spans="1:5" x14ac:dyDescent="0.35">
      <c r="A6" s="1">
        <v>4</v>
      </c>
      <c r="B6" s="1">
        <v>6.9</v>
      </c>
      <c r="C6" s="1">
        <f>(A6*B6)</f>
        <v>27.6</v>
      </c>
      <c r="D6" s="2" t="s">
        <v>35</v>
      </c>
      <c r="E6" s="4" t="s">
        <v>30</v>
      </c>
    </row>
    <row r="7" spans="1:5" x14ac:dyDescent="0.35">
      <c r="A7" s="1">
        <v>1</v>
      </c>
      <c r="B7" s="1">
        <v>39.9</v>
      </c>
      <c r="C7" s="1">
        <f>(A7*B7)</f>
        <v>39.9</v>
      </c>
      <c r="D7" s="2" t="s">
        <v>34</v>
      </c>
      <c r="E7" s="3" t="s">
        <v>30</v>
      </c>
    </row>
    <row r="8" spans="1:5" x14ac:dyDescent="0.35">
      <c r="A8" s="1">
        <v>1</v>
      </c>
      <c r="B8" s="1">
        <v>12.8</v>
      </c>
      <c r="C8" s="1">
        <f>(A8*B8)</f>
        <v>12.8</v>
      </c>
      <c r="D8" s="2" t="s">
        <v>33</v>
      </c>
      <c r="E8" s="3" t="s">
        <v>32</v>
      </c>
    </row>
    <row r="9" spans="1:5" x14ac:dyDescent="0.35">
      <c r="A9" s="1">
        <v>1</v>
      </c>
      <c r="B9" s="1">
        <v>1.39</v>
      </c>
      <c r="C9" s="1">
        <f>(A9*B9)</f>
        <v>1.39</v>
      </c>
      <c r="D9" s="2" t="s">
        <v>31</v>
      </c>
      <c r="E9" s="4" t="s">
        <v>30</v>
      </c>
    </row>
    <row r="10" spans="1:5" x14ac:dyDescent="0.35">
      <c r="A10" s="1">
        <v>3</v>
      </c>
      <c r="B10" s="1">
        <v>0.98</v>
      </c>
      <c r="C10" s="1">
        <f>(A10*B10)</f>
        <v>2.94</v>
      </c>
      <c r="D10" s="2" t="s">
        <v>29</v>
      </c>
      <c r="E10" s="3" t="s">
        <v>28</v>
      </c>
    </row>
    <row r="11" spans="1:5" x14ac:dyDescent="0.35">
      <c r="A11" s="1">
        <v>1</v>
      </c>
      <c r="B11" s="1">
        <v>9.98</v>
      </c>
      <c r="C11" s="1">
        <f>(A11*B11)</f>
        <v>9.98</v>
      </c>
      <c r="D11" s="2" t="s">
        <v>27</v>
      </c>
      <c r="E11" s="1"/>
    </row>
    <row r="12" spans="1:5" x14ac:dyDescent="0.35">
      <c r="A12" s="1">
        <v>1</v>
      </c>
      <c r="B12" s="1">
        <v>6.98</v>
      </c>
      <c r="C12" s="1">
        <f>(A12*B12)</f>
        <v>6.98</v>
      </c>
      <c r="D12" s="2" t="s">
        <v>26</v>
      </c>
      <c r="E12" s="1"/>
    </row>
    <row r="13" spans="1:5" x14ac:dyDescent="0.35">
      <c r="A13" s="1">
        <v>1</v>
      </c>
      <c r="B13" s="1">
        <v>6.98</v>
      </c>
      <c r="C13" s="1">
        <v>6.98</v>
      </c>
      <c r="D13" s="2" t="s">
        <v>25</v>
      </c>
      <c r="E13" s="1"/>
    </row>
    <row r="14" spans="1:5" x14ac:dyDescent="0.35">
      <c r="A14" s="1">
        <v>4</v>
      </c>
      <c r="B14" s="1">
        <v>4.3499999999999996</v>
      </c>
      <c r="C14" s="1">
        <f>(A14*B14)</f>
        <v>17.399999999999999</v>
      </c>
      <c r="D14" s="2" t="s">
        <v>24</v>
      </c>
      <c r="E14" s="1"/>
    </row>
    <row r="15" spans="1:5" x14ac:dyDescent="0.35">
      <c r="A15" s="1">
        <v>3</v>
      </c>
      <c r="B15" s="1">
        <v>1.55</v>
      </c>
      <c r="C15" s="1">
        <f>(A15*B15)</f>
        <v>4.6500000000000004</v>
      </c>
      <c r="D15" s="2" t="s">
        <v>23</v>
      </c>
      <c r="E15" s="1"/>
    </row>
    <row r="16" spans="1:5" x14ac:dyDescent="0.35">
      <c r="A16" s="1">
        <v>2</v>
      </c>
      <c r="B16" s="1">
        <v>0.06</v>
      </c>
      <c r="C16" s="1">
        <f>(A16*B16)</f>
        <v>0.12</v>
      </c>
      <c r="D16" s="2" t="s">
        <v>22</v>
      </c>
      <c r="E16" s="1"/>
    </row>
    <row r="17" spans="1:5" x14ac:dyDescent="0.35">
      <c r="A17" s="1">
        <v>2</v>
      </c>
      <c r="B17" s="1">
        <v>0.05</v>
      </c>
      <c r="C17" s="1">
        <f>(A17*B17)</f>
        <v>0.1</v>
      </c>
      <c r="D17" s="2" t="s">
        <v>21</v>
      </c>
      <c r="E17" s="1"/>
    </row>
    <row r="18" spans="1:5" x14ac:dyDescent="0.35">
      <c r="A18" s="1">
        <v>1</v>
      </c>
      <c r="B18" s="1">
        <v>0.61</v>
      </c>
      <c r="C18" s="1">
        <f>(A18*B18)</f>
        <v>0.61</v>
      </c>
      <c r="D18" s="2" t="s">
        <v>20</v>
      </c>
      <c r="E18" s="1"/>
    </row>
    <row r="19" spans="1:5" x14ac:dyDescent="0.35">
      <c r="A19" s="1">
        <v>1</v>
      </c>
      <c r="B19" s="1">
        <v>0.06</v>
      </c>
      <c r="C19" s="1">
        <f>(A19*B19)</f>
        <v>0.06</v>
      </c>
      <c r="D19" s="2" t="s">
        <v>19</v>
      </c>
      <c r="E19" s="1"/>
    </row>
    <row r="20" spans="1:5" x14ac:dyDescent="0.35">
      <c r="A20" s="1">
        <v>1</v>
      </c>
      <c r="B20" s="1">
        <v>0.1</v>
      </c>
      <c r="C20" s="1">
        <f>(A20*B20)</f>
        <v>0.1</v>
      </c>
      <c r="D20" s="2" t="s">
        <v>18</v>
      </c>
      <c r="E20" s="1"/>
    </row>
    <row r="21" spans="1:5" x14ac:dyDescent="0.35">
      <c r="A21" s="1">
        <v>3</v>
      </c>
      <c r="B21" s="1">
        <v>0.06</v>
      </c>
      <c r="C21" s="1">
        <f>(A21*B21)</f>
        <v>0.18</v>
      </c>
      <c r="D21" s="2" t="s">
        <v>17</v>
      </c>
      <c r="E21" s="1"/>
    </row>
    <row r="22" spans="1:5" x14ac:dyDescent="0.35">
      <c r="A22" s="1">
        <v>5</v>
      </c>
      <c r="B22" s="1">
        <v>7.0000000000000007E-2</v>
      </c>
      <c r="C22" s="1">
        <f>(A22*B22)</f>
        <v>0.35000000000000003</v>
      </c>
      <c r="D22" s="2" t="s">
        <v>16</v>
      </c>
      <c r="E22" s="1"/>
    </row>
    <row r="23" spans="1:5" x14ac:dyDescent="0.35">
      <c r="A23" s="1">
        <v>3</v>
      </c>
      <c r="B23" s="1">
        <v>7.0000000000000007E-2</v>
      </c>
      <c r="C23" s="1">
        <f>(A23*B23)</f>
        <v>0.21000000000000002</v>
      </c>
      <c r="D23" s="2" t="s">
        <v>15</v>
      </c>
      <c r="E23" s="1"/>
    </row>
    <row r="24" spans="1:5" x14ac:dyDescent="0.35">
      <c r="A24" s="1">
        <v>1</v>
      </c>
      <c r="B24" s="1">
        <v>7.0000000000000007E-2</v>
      </c>
      <c r="C24" s="1">
        <f>(A24*B24)</f>
        <v>7.0000000000000007E-2</v>
      </c>
      <c r="D24" s="2" t="s">
        <v>14</v>
      </c>
      <c r="E24" s="1"/>
    </row>
    <row r="25" spans="1:5" x14ac:dyDescent="0.35">
      <c r="A25" s="1">
        <v>1</v>
      </c>
      <c r="B25" s="1">
        <v>0.56999999999999995</v>
      </c>
      <c r="C25" s="1">
        <f>(A25*B25)</f>
        <v>0.56999999999999995</v>
      </c>
      <c r="D25" s="2" t="s">
        <v>13</v>
      </c>
      <c r="E25" s="1"/>
    </row>
    <row r="26" spans="1:5" x14ac:dyDescent="0.35">
      <c r="A26" s="1">
        <v>1</v>
      </c>
      <c r="B26" s="1">
        <v>0.08</v>
      </c>
      <c r="C26" s="1">
        <f>(A26*B26)</f>
        <v>0.08</v>
      </c>
      <c r="D26" s="2" t="s">
        <v>12</v>
      </c>
      <c r="E26" s="1"/>
    </row>
    <row r="27" spans="1:5" x14ac:dyDescent="0.35">
      <c r="A27" s="1">
        <v>1</v>
      </c>
      <c r="B27" s="1">
        <v>0.59</v>
      </c>
      <c r="C27" s="1">
        <f>(A27*B27)</f>
        <v>0.59</v>
      </c>
      <c r="D27" s="2" t="s">
        <v>11</v>
      </c>
      <c r="E27" s="1"/>
    </row>
    <row r="28" spans="1:5" x14ac:dyDescent="0.35">
      <c r="A28" s="1">
        <v>1</v>
      </c>
      <c r="B28" s="1">
        <v>0.06</v>
      </c>
      <c r="C28" s="1">
        <f>(A28*B28)</f>
        <v>0.06</v>
      </c>
      <c r="D28" s="2" t="s">
        <v>10</v>
      </c>
      <c r="E28" s="1"/>
    </row>
    <row r="29" spans="1:5" x14ac:dyDescent="0.35">
      <c r="A29" s="1">
        <v>1</v>
      </c>
      <c r="B29" s="1">
        <v>0.14000000000000001</v>
      </c>
      <c r="C29" s="1">
        <f>(A29*B29)</f>
        <v>0.14000000000000001</v>
      </c>
      <c r="D29" s="2" t="s">
        <v>9</v>
      </c>
      <c r="E29" s="1"/>
    </row>
    <row r="30" spans="1:5" x14ac:dyDescent="0.35">
      <c r="A30" s="1">
        <v>2</v>
      </c>
      <c r="B30" s="1">
        <v>0.31</v>
      </c>
      <c r="C30" s="1">
        <f>(A30*B30)</f>
        <v>0.62</v>
      </c>
      <c r="D30" s="2" t="s">
        <v>8</v>
      </c>
      <c r="E30" s="1"/>
    </row>
    <row r="31" spans="1:5" x14ac:dyDescent="0.35">
      <c r="A31" s="1">
        <v>3</v>
      </c>
      <c r="B31" s="1">
        <v>0.03</v>
      </c>
      <c r="C31" s="1">
        <f>(A31*B31)</f>
        <v>0.09</v>
      </c>
      <c r="D31" s="2" t="s">
        <v>7</v>
      </c>
      <c r="E31" s="1"/>
    </row>
    <row r="32" spans="1:5" x14ac:dyDescent="0.35">
      <c r="A32" s="1">
        <v>3</v>
      </c>
      <c r="B32" s="1">
        <v>0.03</v>
      </c>
      <c r="C32" s="1">
        <f>(A32*B32)</f>
        <v>0.09</v>
      </c>
      <c r="D32" s="2" t="s">
        <v>6</v>
      </c>
      <c r="E32" s="1"/>
    </row>
    <row r="33" spans="1:5" x14ac:dyDescent="0.35">
      <c r="A33" s="1">
        <v>3</v>
      </c>
      <c r="B33" s="1">
        <v>0.04</v>
      </c>
      <c r="C33" s="1">
        <f>(A33*B33)</f>
        <v>0.12</v>
      </c>
      <c r="D33" s="2" t="s">
        <v>5</v>
      </c>
      <c r="E33" s="1"/>
    </row>
    <row r="34" spans="1:5" x14ac:dyDescent="0.35">
      <c r="A34" s="1">
        <v>3</v>
      </c>
      <c r="B34" s="1">
        <v>0.09</v>
      </c>
      <c r="C34" s="1">
        <f>(A34*B34)</f>
        <v>0.27</v>
      </c>
      <c r="D34" s="2" t="s">
        <v>4</v>
      </c>
      <c r="E34" s="1"/>
    </row>
    <row r="35" spans="1:5" x14ac:dyDescent="0.35">
      <c r="A35" s="1">
        <v>3</v>
      </c>
      <c r="B35" s="1">
        <v>0.23</v>
      </c>
      <c r="C35" s="1">
        <f>(A35*B35)</f>
        <v>0.69000000000000006</v>
      </c>
      <c r="D35" s="2" t="s">
        <v>3</v>
      </c>
      <c r="E35" s="1"/>
    </row>
    <row r="36" spans="1:5" x14ac:dyDescent="0.35">
      <c r="A36" s="1">
        <v>1</v>
      </c>
      <c r="B36" s="1">
        <v>29.32</v>
      </c>
      <c r="C36" s="1">
        <f>(A36*B36)</f>
        <v>29.32</v>
      </c>
      <c r="D36" s="2" t="s">
        <v>2</v>
      </c>
      <c r="E36" s="1"/>
    </row>
    <row r="37" spans="1:5" x14ac:dyDescent="0.35">
      <c r="A37" s="1">
        <v>3</v>
      </c>
      <c r="B37" s="1">
        <v>0.45</v>
      </c>
      <c r="C37" s="1">
        <f>(A37*B37)</f>
        <v>1.35</v>
      </c>
      <c r="D37" s="2" t="s">
        <v>1</v>
      </c>
      <c r="E37" s="1"/>
    </row>
    <row r="38" spans="1:5" x14ac:dyDescent="0.35">
      <c r="A38" s="1"/>
      <c r="B38" s="1"/>
      <c r="C38" s="1"/>
      <c r="D38" s="2"/>
      <c r="E38" s="1"/>
    </row>
    <row r="39" spans="1:5" x14ac:dyDescent="0.35">
      <c r="A39" s="1"/>
      <c r="B39" s="1"/>
      <c r="C39" s="1"/>
      <c r="D39" s="2"/>
      <c r="E39" s="1"/>
    </row>
    <row r="40" spans="1:5" x14ac:dyDescent="0.35">
      <c r="A40" s="1"/>
      <c r="B40" s="1"/>
      <c r="C40" s="1"/>
      <c r="D40" s="2"/>
      <c r="E40" s="1"/>
    </row>
    <row r="41" spans="1:5" x14ac:dyDescent="0.35">
      <c r="A41" s="1"/>
      <c r="B41" s="1"/>
      <c r="C41" s="1"/>
      <c r="D41" s="2"/>
      <c r="E41" s="1"/>
    </row>
    <row r="42" spans="1:5" x14ac:dyDescent="0.35">
      <c r="A42" s="1"/>
      <c r="B42" s="1"/>
      <c r="C42" s="1"/>
      <c r="D42" s="2"/>
      <c r="E42" s="1"/>
    </row>
    <row r="43" spans="1:5" x14ac:dyDescent="0.35">
      <c r="A43" s="1"/>
      <c r="B43" s="1"/>
      <c r="C43" s="1"/>
      <c r="D43" s="2"/>
      <c r="E43" s="1"/>
    </row>
    <row r="44" spans="1:5" x14ac:dyDescent="0.35">
      <c r="A44" s="1"/>
      <c r="B44" s="1"/>
      <c r="C44" s="1"/>
      <c r="D44" s="2"/>
      <c r="E44" s="1"/>
    </row>
    <row r="45" spans="1:5" x14ac:dyDescent="0.35">
      <c r="A45" s="1"/>
      <c r="B45" s="1"/>
      <c r="C45" s="1">
        <f>SUM(C2:C44)</f>
        <v>325.96999999999991</v>
      </c>
      <c r="D45" s="2" t="s">
        <v>0</v>
      </c>
      <c r="E45" s="1"/>
    </row>
  </sheetData>
  <hyperlinks>
    <hyperlink ref="E3" r:id="rId1" xr:uid="{9B30FF01-0DF3-45DA-BB9F-14CA931FA740}"/>
    <hyperlink ref="E6" r:id="rId2" xr:uid="{CD8815A2-BF1A-4834-8716-9343B23AAF10}"/>
    <hyperlink ref="E4" r:id="rId3" xr:uid="{B7BD2B3E-41A0-4FAC-848C-533D0C6DFF9B}"/>
    <hyperlink ref="E7" r:id="rId4" xr:uid="{F37867A9-4EB4-44B9-952D-4DAD49ECF50C}"/>
    <hyperlink ref="E5" r:id="rId5" xr:uid="{BE8A8533-2069-4384-A318-82D59534DD41}"/>
    <hyperlink ref="E8" r:id="rId6" xr:uid="{66CF2D08-19D7-49E5-A05F-25137338EA29}"/>
    <hyperlink ref="E9" r:id="rId7" xr:uid="{8F085F5F-7B1B-4050-89C7-F5A39769DD4B}"/>
    <hyperlink ref="E10" r:id="rId8" xr:uid="{DAC793E2-C30C-40C0-87EE-1281250EC94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E440-0212-41BF-8DF7-55FB9BAEC9A5}">
  <dimension ref="A1:P44"/>
  <sheetViews>
    <sheetView topLeftCell="A20" workbookViewId="0">
      <selection activeCell="G2" sqref="G2"/>
    </sheetView>
  </sheetViews>
  <sheetFormatPr defaultRowHeight="14.5" x14ac:dyDescent="0.35"/>
  <cols>
    <col min="1" max="1" width="29" customWidth="1"/>
    <col min="3" max="3" width="16" customWidth="1"/>
    <col min="4" max="4" width="20.26953125" customWidth="1"/>
  </cols>
  <sheetData>
    <row r="1" spans="1:16" x14ac:dyDescent="0.35">
      <c r="A1" s="9" t="s">
        <v>166</v>
      </c>
      <c r="B1" s="9" t="s">
        <v>46</v>
      </c>
      <c r="C1" s="9" t="s">
        <v>165</v>
      </c>
      <c r="D1" s="9" t="s">
        <v>164</v>
      </c>
      <c r="E1" s="9" t="s">
        <v>163</v>
      </c>
      <c r="F1" s="9" t="s">
        <v>44</v>
      </c>
      <c r="G1" s="9" t="s">
        <v>162</v>
      </c>
    </row>
    <row r="2" spans="1:16" x14ac:dyDescent="0.35">
      <c r="A2" s="5" t="s">
        <v>161</v>
      </c>
      <c r="B2" s="5">
        <v>3</v>
      </c>
      <c r="C2" s="6" t="s">
        <v>160</v>
      </c>
      <c r="D2" s="6" t="s">
        <v>159</v>
      </c>
      <c r="E2" s="5">
        <v>1.19</v>
      </c>
      <c r="F2" s="5">
        <f>(B2*E2)</f>
        <v>3.57</v>
      </c>
      <c r="G2" s="5"/>
    </row>
    <row r="3" spans="1:16" x14ac:dyDescent="0.35">
      <c r="A3" s="5" t="s">
        <v>158</v>
      </c>
      <c r="B3" s="5">
        <v>5</v>
      </c>
      <c r="C3" s="6" t="s">
        <v>157</v>
      </c>
      <c r="D3" s="6" t="s">
        <v>156</v>
      </c>
      <c r="E3" s="5">
        <v>0.12</v>
      </c>
      <c r="F3" s="5">
        <f>(B3*E3)</f>
        <v>0.6</v>
      </c>
      <c r="G3" s="5"/>
      <c r="P3" s="8" t="s">
        <v>155</v>
      </c>
    </row>
    <row r="4" spans="1:16" x14ac:dyDescent="0.35">
      <c r="A4" s="5" t="s">
        <v>154</v>
      </c>
      <c r="B4" s="5">
        <v>1</v>
      </c>
      <c r="C4" s="6" t="s">
        <v>153</v>
      </c>
      <c r="D4" s="6" t="s">
        <v>152</v>
      </c>
      <c r="E4" s="5">
        <v>16.95</v>
      </c>
      <c r="F4" s="5">
        <f>(B4*E4)</f>
        <v>16.95</v>
      </c>
      <c r="G4" s="5"/>
      <c r="I4" s="8" t="s">
        <v>151</v>
      </c>
    </row>
    <row r="5" spans="1:16" x14ac:dyDescent="0.35">
      <c r="A5" s="5" t="s">
        <v>150</v>
      </c>
      <c r="B5" s="5">
        <v>1</v>
      </c>
      <c r="C5" s="6" t="s">
        <v>149</v>
      </c>
      <c r="D5" s="6" t="s">
        <v>148</v>
      </c>
      <c r="E5" s="5">
        <v>2.4</v>
      </c>
      <c r="F5" s="5">
        <f>(B5*E5)</f>
        <v>2.4</v>
      </c>
      <c r="G5" s="5"/>
    </row>
    <row r="6" spans="1:16" x14ac:dyDescent="0.35">
      <c r="A6" s="5" t="s">
        <v>147</v>
      </c>
      <c r="B6" s="5">
        <v>6</v>
      </c>
      <c r="C6" s="6" t="s">
        <v>146</v>
      </c>
      <c r="D6" s="6" t="s">
        <v>145</v>
      </c>
      <c r="E6" s="5">
        <v>0.6</v>
      </c>
      <c r="F6" s="5">
        <f>(B6*E6)</f>
        <v>3.5999999999999996</v>
      </c>
      <c r="G6" s="5"/>
    </row>
    <row r="7" spans="1:16" x14ac:dyDescent="0.35">
      <c r="A7" s="5" t="s">
        <v>144</v>
      </c>
      <c r="B7" s="5">
        <v>6</v>
      </c>
      <c r="C7" s="6" t="s">
        <v>143</v>
      </c>
      <c r="D7" s="6" t="s">
        <v>142</v>
      </c>
      <c r="E7" s="5">
        <v>0.22</v>
      </c>
      <c r="F7" s="5">
        <f>(B7*E7)</f>
        <v>1.32</v>
      </c>
      <c r="G7" s="5"/>
    </row>
    <row r="8" spans="1:16" x14ac:dyDescent="0.35">
      <c r="A8" s="5" t="s">
        <v>141</v>
      </c>
      <c r="B8" s="5">
        <v>1</v>
      </c>
      <c r="C8" s="6" t="s">
        <v>140</v>
      </c>
      <c r="D8" s="6" t="s">
        <v>139</v>
      </c>
      <c r="E8" s="5">
        <v>0.63</v>
      </c>
      <c r="F8" s="5">
        <f>(B8*E8)</f>
        <v>0.63</v>
      </c>
      <c r="G8" s="5"/>
    </row>
    <row r="9" spans="1:16" x14ac:dyDescent="0.35">
      <c r="A9" s="5" t="s">
        <v>138</v>
      </c>
      <c r="B9" s="5">
        <v>2</v>
      </c>
      <c r="C9" s="6" t="s">
        <v>137</v>
      </c>
      <c r="D9" s="6" t="s">
        <v>136</v>
      </c>
      <c r="E9" s="5">
        <v>0.44</v>
      </c>
      <c r="F9" s="5">
        <f>(B9*E9)</f>
        <v>0.88</v>
      </c>
      <c r="G9" s="5"/>
    </row>
    <row r="10" spans="1:16" x14ac:dyDescent="0.35">
      <c r="A10" s="5" t="s">
        <v>135</v>
      </c>
      <c r="B10" s="5">
        <v>2</v>
      </c>
      <c r="C10" s="6" t="s">
        <v>134</v>
      </c>
      <c r="D10" s="6" t="s">
        <v>133</v>
      </c>
      <c r="E10" s="5">
        <v>0.1</v>
      </c>
      <c r="F10" s="5">
        <f>(B10*E10)</f>
        <v>0.2</v>
      </c>
      <c r="G10" s="5"/>
    </row>
    <row r="11" spans="1:16" x14ac:dyDescent="0.35">
      <c r="A11" s="5" t="s">
        <v>132</v>
      </c>
      <c r="B11" s="5">
        <v>1</v>
      </c>
      <c r="C11" s="6" t="s">
        <v>131</v>
      </c>
      <c r="D11" s="6" t="s">
        <v>130</v>
      </c>
      <c r="E11" s="5">
        <v>0.2</v>
      </c>
      <c r="F11" s="5">
        <f>(B11*E11)</f>
        <v>0.2</v>
      </c>
      <c r="G11" s="5"/>
    </row>
    <row r="12" spans="1:16" x14ac:dyDescent="0.35">
      <c r="A12" s="5" t="s">
        <v>129</v>
      </c>
      <c r="B12" s="5">
        <v>1</v>
      </c>
      <c r="C12" s="6" t="s">
        <v>128</v>
      </c>
      <c r="D12" s="6" t="s">
        <v>127</v>
      </c>
      <c r="E12" s="5">
        <v>0.16</v>
      </c>
      <c r="F12" s="5">
        <f>(B12*E12)</f>
        <v>0.16</v>
      </c>
      <c r="G12" s="5"/>
    </row>
    <row r="13" spans="1:16" x14ac:dyDescent="0.35">
      <c r="A13" s="5" t="s">
        <v>126</v>
      </c>
      <c r="B13" s="5">
        <v>1</v>
      </c>
      <c r="C13" s="6" t="s">
        <v>125</v>
      </c>
      <c r="D13" s="6" t="s">
        <v>124</v>
      </c>
      <c r="E13" s="5">
        <v>8.08</v>
      </c>
      <c r="F13" s="5">
        <f>(B13*E13)</f>
        <v>8.08</v>
      </c>
      <c r="G13" s="5"/>
    </row>
    <row r="14" spans="1:16" x14ac:dyDescent="0.35">
      <c r="A14" s="5" t="s">
        <v>123</v>
      </c>
      <c r="B14" s="5">
        <v>2</v>
      </c>
      <c r="C14" s="6" t="s">
        <v>122</v>
      </c>
      <c r="D14" s="6" t="s">
        <v>121</v>
      </c>
      <c r="E14" s="5">
        <v>0.24</v>
      </c>
      <c r="F14" s="5">
        <f>(B14*E14)</f>
        <v>0.48</v>
      </c>
      <c r="G14" s="5"/>
    </row>
    <row r="15" spans="1:16" x14ac:dyDescent="0.35">
      <c r="A15" s="5"/>
      <c r="B15" s="5"/>
      <c r="C15" s="5"/>
      <c r="D15" s="5"/>
      <c r="E15" s="5"/>
      <c r="F15" s="5"/>
      <c r="G15" s="5"/>
    </row>
    <row r="16" spans="1:16" x14ac:dyDescent="0.35">
      <c r="A16" s="5"/>
      <c r="B16" s="5"/>
      <c r="C16" s="5"/>
      <c r="D16" s="5"/>
      <c r="E16" s="5"/>
      <c r="F16" s="5"/>
      <c r="G16" s="5"/>
    </row>
    <row r="17" spans="1:7" x14ac:dyDescent="0.35">
      <c r="A17" s="6" t="s">
        <v>120</v>
      </c>
      <c r="B17" s="5"/>
      <c r="C17" s="5"/>
      <c r="D17" s="5"/>
      <c r="E17" s="5"/>
      <c r="F17" s="5"/>
      <c r="G17" s="5"/>
    </row>
    <row r="18" spans="1:7" x14ac:dyDescent="0.35">
      <c r="A18" s="5"/>
      <c r="B18" s="5"/>
      <c r="C18" s="5"/>
      <c r="D18" s="5"/>
      <c r="E18" s="5"/>
      <c r="F18" s="5"/>
      <c r="G18" s="5"/>
    </row>
    <row r="19" spans="1:7" x14ac:dyDescent="0.35">
      <c r="A19" s="7" t="s">
        <v>119</v>
      </c>
      <c r="B19" s="5"/>
      <c r="C19" s="5"/>
      <c r="D19" s="5"/>
      <c r="E19" s="5"/>
      <c r="F19" s="5"/>
      <c r="G19" s="5"/>
    </row>
    <row r="20" spans="1:7" x14ac:dyDescent="0.35">
      <c r="A20" s="5" t="s">
        <v>118</v>
      </c>
      <c r="B20" s="5">
        <v>6</v>
      </c>
      <c r="C20" s="6" t="s">
        <v>117</v>
      </c>
      <c r="D20" s="6" t="s">
        <v>116</v>
      </c>
      <c r="E20" s="5">
        <v>0.1</v>
      </c>
      <c r="F20" s="5">
        <f>(B20*E20)</f>
        <v>0.60000000000000009</v>
      </c>
      <c r="G20" s="5"/>
    </row>
    <row r="21" spans="1:7" x14ac:dyDescent="0.35">
      <c r="A21" s="5" t="s">
        <v>115</v>
      </c>
      <c r="B21" s="5">
        <v>17</v>
      </c>
      <c r="C21" s="6" t="s">
        <v>114</v>
      </c>
      <c r="D21" s="6" t="s">
        <v>113</v>
      </c>
      <c r="E21" s="5">
        <v>0.1</v>
      </c>
      <c r="F21" s="5">
        <f>(B21*E21)</f>
        <v>1.7000000000000002</v>
      </c>
      <c r="G21" s="5"/>
    </row>
    <row r="22" spans="1:7" x14ac:dyDescent="0.35">
      <c r="A22" s="5" t="s">
        <v>112</v>
      </c>
      <c r="B22" s="5">
        <v>2</v>
      </c>
      <c r="C22" s="6" t="s">
        <v>111</v>
      </c>
      <c r="D22" s="6" t="s">
        <v>110</v>
      </c>
      <c r="E22" s="5">
        <v>0.41</v>
      </c>
      <c r="F22" s="5">
        <f>(B22*E22)</f>
        <v>0.82</v>
      </c>
      <c r="G22" s="5"/>
    </row>
    <row r="23" spans="1:7" x14ac:dyDescent="0.35">
      <c r="A23" s="5" t="s">
        <v>109</v>
      </c>
      <c r="B23" s="5">
        <v>3</v>
      </c>
      <c r="C23" s="6" t="s">
        <v>108</v>
      </c>
      <c r="D23" s="6" t="s">
        <v>107</v>
      </c>
      <c r="E23" s="5">
        <v>0.71</v>
      </c>
      <c r="F23" s="5">
        <f>(B23*E23)</f>
        <v>2.13</v>
      </c>
      <c r="G23" s="5"/>
    </row>
    <row r="24" spans="1:7" x14ac:dyDescent="0.35">
      <c r="A24" s="5" t="s">
        <v>106</v>
      </c>
      <c r="B24" s="5">
        <v>2</v>
      </c>
      <c r="C24" s="6" t="s">
        <v>105</v>
      </c>
      <c r="D24" s="6" t="s">
        <v>104</v>
      </c>
      <c r="E24" s="5">
        <v>0.14000000000000001</v>
      </c>
      <c r="F24" s="5">
        <f>(B24*E24)</f>
        <v>0.28000000000000003</v>
      </c>
      <c r="G24" s="5"/>
    </row>
    <row r="25" spans="1:7" x14ac:dyDescent="0.35">
      <c r="A25" s="5" t="s">
        <v>103</v>
      </c>
      <c r="B25" s="5">
        <v>4</v>
      </c>
      <c r="C25" s="6" t="s">
        <v>102</v>
      </c>
      <c r="D25" s="6" t="s">
        <v>101</v>
      </c>
      <c r="E25" s="5">
        <v>0.53</v>
      </c>
      <c r="F25" s="5">
        <f>(B25*E25)</f>
        <v>2.12</v>
      </c>
      <c r="G25" s="5"/>
    </row>
    <row r="26" spans="1:7" x14ac:dyDescent="0.35">
      <c r="A26" s="5" t="s">
        <v>100</v>
      </c>
      <c r="B26" s="5">
        <v>1</v>
      </c>
      <c r="C26" s="6" t="s">
        <v>99</v>
      </c>
      <c r="D26" s="6" t="s">
        <v>96</v>
      </c>
      <c r="E26" s="5">
        <v>0.1</v>
      </c>
      <c r="F26" s="5">
        <f>(B26*E26)</f>
        <v>0.1</v>
      </c>
      <c r="G26" s="5"/>
    </row>
    <row r="27" spans="1:7" x14ac:dyDescent="0.35">
      <c r="A27" s="5" t="s">
        <v>98</v>
      </c>
      <c r="B27" s="5">
        <v>2</v>
      </c>
      <c r="C27" s="6" t="s">
        <v>97</v>
      </c>
      <c r="D27" s="6" t="s">
        <v>96</v>
      </c>
      <c r="E27" s="5">
        <v>0.1</v>
      </c>
      <c r="F27" s="5">
        <f>(B27*E27)</f>
        <v>0.2</v>
      </c>
      <c r="G27" s="5"/>
    </row>
    <row r="28" spans="1:7" x14ac:dyDescent="0.35">
      <c r="A28" s="5" t="s">
        <v>95</v>
      </c>
      <c r="B28" s="5">
        <v>2</v>
      </c>
      <c r="C28" s="6" t="s">
        <v>94</v>
      </c>
      <c r="D28" s="6" t="s">
        <v>93</v>
      </c>
      <c r="E28" s="5">
        <v>0.1</v>
      </c>
      <c r="F28" s="5">
        <f>(B28*E28)</f>
        <v>0.2</v>
      </c>
      <c r="G28" s="5"/>
    </row>
    <row r="29" spans="1:7" x14ac:dyDescent="0.35">
      <c r="A29" s="5" t="s">
        <v>92</v>
      </c>
      <c r="B29" s="5">
        <v>1</v>
      </c>
      <c r="C29" s="6" t="s">
        <v>91</v>
      </c>
      <c r="D29" s="6" t="s">
        <v>90</v>
      </c>
      <c r="E29" s="5">
        <v>0.28999999999999998</v>
      </c>
      <c r="F29" s="5">
        <f>(B29*E29)</f>
        <v>0.28999999999999998</v>
      </c>
      <c r="G29" s="5"/>
    </row>
    <row r="30" spans="1:7" x14ac:dyDescent="0.35">
      <c r="A30" s="5" t="s">
        <v>89</v>
      </c>
      <c r="B30" s="5">
        <v>1</v>
      </c>
      <c r="C30" s="6" t="s">
        <v>88</v>
      </c>
      <c r="D30" s="6" t="s">
        <v>87</v>
      </c>
      <c r="E30" s="5">
        <v>0.1</v>
      </c>
      <c r="F30" s="5">
        <f>(B30*E30)</f>
        <v>0.1</v>
      </c>
      <c r="G30" s="5"/>
    </row>
    <row r="31" spans="1:7" x14ac:dyDescent="0.35">
      <c r="A31" s="5" t="s">
        <v>86</v>
      </c>
      <c r="B31" s="5">
        <v>1</v>
      </c>
      <c r="C31" s="6" t="s">
        <v>85</v>
      </c>
      <c r="D31" s="6" t="s">
        <v>84</v>
      </c>
      <c r="E31" s="5">
        <v>0.1</v>
      </c>
      <c r="F31" s="5">
        <f>(B31*E31)</f>
        <v>0.1</v>
      </c>
      <c r="G31" s="5"/>
    </row>
    <row r="32" spans="1:7" x14ac:dyDescent="0.35">
      <c r="A32" s="5" t="s">
        <v>83</v>
      </c>
      <c r="B32" s="5">
        <v>1</v>
      </c>
      <c r="C32" s="6" t="s">
        <v>82</v>
      </c>
      <c r="D32" s="6" t="s">
        <v>81</v>
      </c>
      <c r="E32" s="5">
        <v>0.28999999999999998</v>
      </c>
      <c r="F32" s="5">
        <f>(B32*E32)</f>
        <v>0.28999999999999998</v>
      </c>
      <c r="G32" s="5"/>
    </row>
    <row r="33" spans="1:7" x14ac:dyDescent="0.35">
      <c r="A33" s="5" t="s">
        <v>80</v>
      </c>
      <c r="B33" s="5">
        <v>8</v>
      </c>
      <c r="C33" s="6" t="s">
        <v>79</v>
      </c>
      <c r="D33" s="6" t="s">
        <v>78</v>
      </c>
      <c r="E33" s="5">
        <v>1.5</v>
      </c>
      <c r="F33" s="5">
        <f>(B33*E33)</f>
        <v>12</v>
      </c>
      <c r="G33" s="5"/>
    </row>
    <row r="34" spans="1:7" x14ac:dyDescent="0.35">
      <c r="A34" s="5" t="s">
        <v>77</v>
      </c>
      <c r="B34" s="5">
        <v>2</v>
      </c>
      <c r="C34" s="6" t="s">
        <v>76</v>
      </c>
      <c r="D34" s="6" t="s">
        <v>75</v>
      </c>
      <c r="E34" s="5">
        <v>1.5</v>
      </c>
      <c r="F34" s="5">
        <f>(B34*E34)</f>
        <v>3</v>
      </c>
      <c r="G34" s="5"/>
    </row>
    <row r="35" spans="1:7" x14ac:dyDescent="0.35">
      <c r="A35" s="5" t="s">
        <v>74</v>
      </c>
      <c r="B35" s="5">
        <v>6</v>
      </c>
      <c r="C35" s="6" t="s">
        <v>73</v>
      </c>
      <c r="D35" s="6" t="s">
        <v>72</v>
      </c>
      <c r="E35" s="5">
        <v>1.47</v>
      </c>
      <c r="F35" s="5">
        <f>(B35*E35)</f>
        <v>8.82</v>
      </c>
      <c r="G35" s="5"/>
    </row>
    <row r="36" spans="1:7" x14ac:dyDescent="0.35">
      <c r="A36" s="5" t="s">
        <v>71</v>
      </c>
      <c r="B36" s="5">
        <v>1</v>
      </c>
      <c r="C36" s="6" t="s">
        <v>70</v>
      </c>
      <c r="D36" s="6" t="s">
        <v>69</v>
      </c>
      <c r="E36" s="5">
        <v>0.95</v>
      </c>
      <c r="F36" s="5">
        <f>(B36*E36)</f>
        <v>0.95</v>
      </c>
      <c r="G36" s="5"/>
    </row>
    <row r="37" spans="1:7" x14ac:dyDescent="0.35">
      <c r="A37" s="5" t="s">
        <v>68</v>
      </c>
      <c r="B37" s="5">
        <v>10</v>
      </c>
      <c r="C37" s="6" t="s">
        <v>67</v>
      </c>
      <c r="D37" s="6" t="s">
        <v>66</v>
      </c>
      <c r="E37" s="5">
        <v>1.18</v>
      </c>
      <c r="F37" s="5">
        <f>(B37*E37)</f>
        <v>11.799999999999999</v>
      </c>
      <c r="G37" s="5"/>
    </row>
    <row r="38" spans="1:7" x14ac:dyDescent="0.35">
      <c r="A38" s="5" t="s">
        <v>65</v>
      </c>
      <c r="B38" s="5">
        <v>1</v>
      </c>
      <c r="C38" s="6" t="s">
        <v>64</v>
      </c>
      <c r="D38" s="6" t="s">
        <v>63</v>
      </c>
      <c r="E38" s="5">
        <v>0</v>
      </c>
      <c r="F38" s="5">
        <f>(B38*E38)</f>
        <v>0</v>
      </c>
      <c r="G38" s="5" t="s">
        <v>53</v>
      </c>
    </row>
    <row r="39" spans="1:7" x14ac:dyDescent="0.35">
      <c r="A39" s="5" t="s">
        <v>62</v>
      </c>
      <c r="B39" s="5">
        <v>1</v>
      </c>
      <c r="C39" s="6" t="s">
        <v>61</v>
      </c>
      <c r="D39" s="6" t="s">
        <v>60</v>
      </c>
      <c r="E39" s="5">
        <v>0.75</v>
      </c>
      <c r="F39" s="5">
        <f>(B39*E39)</f>
        <v>0.75</v>
      </c>
      <c r="G39" s="5"/>
    </row>
    <row r="40" spans="1:7" x14ac:dyDescent="0.35">
      <c r="A40" s="5" t="s">
        <v>59</v>
      </c>
      <c r="B40" s="5">
        <v>1</v>
      </c>
      <c r="C40" s="6" t="s">
        <v>58</v>
      </c>
      <c r="D40" s="6" t="s">
        <v>57</v>
      </c>
      <c r="E40" s="5">
        <v>0.1</v>
      </c>
      <c r="F40" s="5">
        <f>(B40*E40)</f>
        <v>0.1</v>
      </c>
      <c r="G40" s="5"/>
    </row>
    <row r="41" spans="1:7" x14ac:dyDescent="0.35">
      <c r="A41" s="5" t="s">
        <v>56</v>
      </c>
      <c r="B41" s="5">
        <v>1</v>
      </c>
      <c r="C41" s="6" t="s">
        <v>55</v>
      </c>
      <c r="D41" s="6" t="s">
        <v>54</v>
      </c>
      <c r="E41" s="5">
        <v>0</v>
      </c>
      <c r="F41" s="5">
        <f>(B41*E41)</f>
        <v>0</v>
      </c>
      <c r="G41" s="5" t="s">
        <v>53</v>
      </c>
    </row>
    <row r="42" spans="1:7" x14ac:dyDescent="0.35">
      <c r="A42" s="5" t="s">
        <v>52</v>
      </c>
      <c r="B42" s="5">
        <v>2</v>
      </c>
      <c r="C42" s="6" t="s">
        <v>51</v>
      </c>
      <c r="D42" s="6" t="s">
        <v>50</v>
      </c>
      <c r="E42" s="5">
        <v>3.67</v>
      </c>
      <c r="F42" s="5">
        <f>(B42*E42)</f>
        <v>7.34</v>
      </c>
      <c r="G42" s="5"/>
    </row>
    <row r="43" spans="1:7" x14ac:dyDescent="0.35">
      <c r="A43" s="5" t="s">
        <v>49</v>
      </c>
      <c r="B43" s="5">
        <v>1</v>
      </c>
      <c r="C43" s="6" t="s">
        <v>48</v>
      </c>
      <c r="D43" s="6" t="s">
        <v>47</v>
      </c>
      <c r="E43" s="5">
        <v>1.95</v>
      </c>
      <c r="F43" s="5">
        <f>(B43*E43)</f>
        <v>1.95</v>
      </c>
      <c r="G43" s="5"/>
    </row>
    <row r="44" spans="1:7" x14ac:dyDescent="0.35">
      <c r="A44" s="5"/>
      <c r="B44" s="5"/>
      <c r="C44" s="5"/>
      <c r="D44" s="5"/>
      <c r="E44" s="5"/>
      <c r="F44" s="5">
        <f>SUM(F2:F43)</f>
        <v>94.710000000000008</v>
      </c>
      <c r="G44" s="5"/>
    </row>
  </sheetData>
  <hyperlinks>
    <hyperlink ref="C2" r:id="rId1" xr:uid="{524F8884-39AC-4247-AD55-471E7561C804}"/>
    <hyperlink ref="C3" r:id="rId2" xr:uid="{0F9AA661-10A7-4105-B219-8D99756CA5CC}"/>
    <hyperlink ref="C4" r:id="rId3" xr:uid="{D31F03EF-388E-46BB-8032-8B4C8DEF0B68}"/>
    <hyperlink ref="C5" r:id="rId4" xr:uid="{1CEF0251-D843-4440-9824-255D0AB4C868}"/>
    <hyperlink ref="C6" r:id="rId5" xr:uid="{A63E1DD6-4CF6-48C2-825C-F158A3497924}"/>
    <hyperlink ref="C7" r:id="rId6" xr:uid="{09058C50-76D5-4E01-92A7-29F500B50A2C}"/>
    <hyperlink ref="C8" r:id="rId7" xr:uid="{00A2E026-AE94-49EB-92E5-3F0448A44292}"/>
    <hyperlink ref="C9" r:id="rId8" xr:uid="{BBC1FC56-DB6F-4BBA-BF13-AC6E63873B72}"/>
    <hyperlink ref="C10" r:id="rId9" xr:uid="{78C832A6-DA9E-41B0-B82A-FE044204EC7F}"/>
    <hyperlink ref="C11" r:id="rId10" xr:uid="{D3CC9BC4-981E-4544-ABA4-2AD6C6772C2B}"/>
    <hyperlink ref="C12" r:id="rId11" xr:uid="{57A567E1-3AC4-404E-AD79-605DB8EC7050}"/>
    <hyperlink ref="C13" r:id="rId12" xr:uid="{338C018E-B501-465E-A4F2-169CE9909FA0}"/>
    <hyperlink ref="C14" r:id="rId13" xr:uid="{7C9E182C-7D0B-4E45-8D2A-9F6582D86DB7}"/>
    <hyperlink ref="I4" r:id="rId14" xr:uid="{92DE1EB8-B8BB-464A-B305-2A55B4123E30}"/>
    <hyperlink ref="P3" r:id="rId15" xr:uid="{430A0DC8-2847-416B-9E83-6C6931CC191C}"/>
    <hyperlink ref="A17" r:id="rId16" xr:uid="{F88F8B89-6ED0-4FEA-B299-298BC1FFF603}"/>
    <hyperlink ref="C20" r:id="rId17" xr:uid="{011DFD74-6BB3-4C85-AC94-A1FA8F1658C8}"/>
    <hyperlink ref="C21" r:id="rId18" xr:uid="{97EFA28A-05A4-4787-B849-E4C9B4C5D0A3}"/>
    <hyperlink ref="C22" r:id="rId19" xr:uid="{149B1545-3BFE-45C7-B9AF-72121AAD92A4}"/>
    <hyperlink ref="C23" r:id="rId20" xr:uid="{160BA531-E48E-40D1-915A-F5CC7E816635}"/>
    <hyperlink ref="C24" r:id="rId21" xr:uid="{53420B45-E009-4DF6-94C8-373D3EC26147}"/>
    <hyperlink ref="C25" r:id="rId22" xr:uid="{7D3E0C61-AB83-44DE-91E5-273E9DEB6CB5}"/>
    <hyperlink ref="C26" r:id="rId23" xr:uid="{8D713189-747C-4B37-8968-A3D3C8E35D72}"/>
    <hyperlink ref="C27" r:id="rId24" xr:uid="{1266E338-6DBA-40C2-9D10-D059FF242B8A}"/>
    <hyperlink ref="C28" r:id="rId25" xr:uid="{96C2395F-2DDB-4D47-B9CE-840DE271CBB8}"/>
    <hyperlink ref="C29" r:id="rId26" xr:uid="{89E1529A-A026-42C3-92D2-A99FBF8F5088}"/>
    <hyperlink ref="C30" r:id="rId27" xr:uid="{A714231A-102F-4424-B3AC-7C4F60DE55B8}"/>
    <hyperlink ref="C31" r:id="rId28" xr:uid="{6CE492F1-A453-4752-BD9C-57C1303087E4}"/>
    <hyperlink ref="C32" r:id="rId29" xr:uid="{9F0D8C16-AA6D-4178-80E6-FAB5A79CA90F}"/>
    <hyperlink ref="C33" r:id="rId30" xr:uid="{44554AD9-8213-4FD0-B1D7-555F4695BDA6}"/>
    <hyperlink ref="C34" r:id="rId31" xr:uid="{B5C62EA8-9DED-4EE7-8097-DB81CC1CB1B4}"/>
    <hyperlink ref="C35" r:id="rId32" xr:uid="{00994032-8BDB-43CC-90BF-EE68E738BAB3}"/>
    <hyperlink ref="C36" r:id="rId33" xr:uid="{36F1B893-D7B6-4530-BDA5-D491597AFCE9}"/>
    <hyperlink ref="C37" r:id="rId34" xr:uid="{5C9AA1A7-B960-412C-A9BD-43AEF7CBDE06}"/>
    <hyperlink ref="C38" r:id="rId35" xr:uid="{EA9B9AA8-7388-425A-AC61-4E39A2547AEE}"/>
    <hyperlink ref="C39" r:id="rId36" xr:uid="{BF199EB7-2E29-485A-99F3-18BBBBA452D8}"/>
    <hyperlink ref="C40" r:id="rId37" xr:uid="{96D48DAB-94F8-4F95-8A24-76837F1F1166}"/>
    <hyperlink ref="D2" r:id="rId38" xr:uid="{B0BE89E7-F1E7-46FD-89D8-184423B4AD85}"/>
    <hyperlink ref="D3" r:id="rId39" xr:uid="{250F8914-511C-4BF6-9E33-D5D0404DAF69}"/>
    <hyperlink ref="D5" r:id="rId40" xr:uid="{9B856FFF-E85A-4CF9-BDF7-D659881D2CF4}"/>
    <hyperlink ref="D6" r:id="rId41" xr:uid="{77161F64-B3E0-46FC-8B78-F16C45568498}"/>
    <hyperlink ref="D7" r:id="rId42" xr:uid="{3CDE2187-F7F9-4E65-871E-A12F44EC982D}"/>
    <hyperlink ref="D8" r:id="rId43" xr:uid="{7C481EEF-E19C-402B-B03B-88FC008EE397}"/>
    <hyperlink ref="D9" r:id="rId44" xr:uid="{CC4E55DB-C750-4977-B84F-5B4ECC0D613A}"/>
    <hyperlink ref="D10" r:id="rId45" xr:uid="{7C7576B2-D483-4EF1-886C-8FBDB458328B}"/>
    <hyperlink ref="D11" r:id="rId46" xr:uid="{61AED5FC-B98B-4F81-ACB0-7E9CB74D2888}"/>
    <hyperlink ref="D12" r:id="rId47" xr:uid="{D3ABC88B-3A97-4743-B08E-36ECAA1AB916}"/>
    <hyperlink ref="D13" r:id="rId48" xr:uid="{8648E1B6-3849-4F43-89ED-95F7D95B4984}"/>
    <hyperlink ref="D14" r:id="rId49" xr:uid="{292F2F4B-3156-41B0-8525-66B7455BCCB3}"/>
    <hyperlink ref="D20" r:id="rId50" xr:uid="{D8138F09-0AD3-4FAA-B5CA-E1BC084BAD71}"/>
    <hyperlink ref="D21" r:id="rId51" xr:uid="{CFF02855-A8F2-4870-983C-B1CC3C97E687}"/>
    <hyperlink ref="D22" r:id="rId52" xr:uid="{57209705-7422-47A5-BD2C-ECD5BF460708}"/>
    <hyperlink ref="D23" r:id="rId53" xr:uid="{DE413F25-6D6E-44FD-8A3E-DDF9923C719E}"/>
    <hyperlink ref="D24" r:id="rId54" xr:uid="{92BB01E1-0981-46FA-AE0E-AFB7D41AE907}"/>
    <hyperlink ref="D25" r:id="rId55" xr:uid="{803FB433-6D90-4CEF-A23E-23DCB4AED4E3}"/>
    <hyperlink ref="D26" r:id="rId56" xr:uid="{4A6A4BDE-B8AA-4C3B-9C67-702B18879EB9}"/>
    <hyperlink ref="D27" r:id="rId57" xr:uid="{B4DFEC85-C006-4DB4-846B-7C581642C291}"/>
    <hyperlink ref="D28" r:id="rId58" xr:uid="{957EA2B0-73BD-40B2-ACD2-64DA303787D4}"/>
    <hyperlink ref="D29" r:id="rId59" xr:uid="{9ACBF67E-6A6B-4759-B8B5-F3847857EEF2}"/>
    <hyperlink ref="D30" r:id="rId60" xr:uid="{355D6648-01C7-48F3-BB30-2350D1AA59EE}"/>
    <hyperlink ref="D31" r:id="rId61" xr:uid="{97F289BD-C194-4DC4-81E4-29E11279C133}"/>
    <hyperlink ref="D32" r:id="rId62" xr:uid="{304A91CD-E78D-49DF-81E6-3C9E445EE2FB}"/>
    <hyperlink ref="D33" r:id="rId63" xr:uid="{91A47F9A-4042-4352-95BB-DE70520755F1}"/>
    <hyperlink ref="D34" r:id="rId64" xr:uid="{B876A75B-E165-4C84-813C-C3E0DEAED994}"/>
    <hyperlink ref="D35" r:id="rId65" xr:uid="{F83CEF6E-82D4-4C13-A63C-EA23D2E57661}"/>
    <hyperlink ref="D36" r:id="rId66" xr:uid="{F2B336F1-A30B-41D3-9C45-CADF229810AC}"/>
    <hyperlink ref="D37" r:id="rId67" xr:uid="{C8D61269-64FA-4E81-B45C-EE771DF786F6}"/>
    <hyperlink ref="D38" r:id="rId68" xr:uid="{3C7607B7-4A90-40A0-A5B6-026FEC44BDD3}"/>
    <hyperlink ref="D39" r:id="rId69" xr:uid="{6F182F77-40BC-4935-A9AD-5A12BB482799}"/>
    <hyperlink ref="D40" r:id="rId70" xr:uid="{5723A6C6-CBF1-4D5F-B154-6F908F2839E5}"/>
    <hyperlink ref="D4" r:id="rId71" xr:uid="{D333EEDD-EB4D-4290-92EA-38EF4DB0D492}"/>
    <hyperlink ref="C42" r:id="rId72" xr:uid="{8544B708-8EA2-4DE1-B5CF-39D350C1C1A4}"/>
    <hyperlink ref="D42" r:id="rId73" xr:uid="{6796A48D-FDEF-4E85-891C-F4FF979C9A0E}"/>
    <hyperlink ref="C41" r:id="rId74" xr:uid="{842B1318-838A-490D-8A96-D1BD8F3B50CD}"/>
    <hyperlink ref="D41" r:id="rId75" xr:uid="{C5A21483-8D45-4DD6-8E2D-4C5299544BD2}"/>
    <hyperlink ref="C43" r:id="rId76" xr:uid="{D2BC00F7-EB67-442D-AC28-B35E8472A06D}"/>
    <hyperlink ref="D43" r:id="rId77" xr:uid="{7A8F5C9D-CE2E-41D3-BF7F-6548C1273FB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511EAA3DB438489C18CB6C4293CF07" ma:contentTypeVersion="12" ma:contentTypeDescription="Create a new document." ma:contentTypeScope="" ma:versionID="35e7ecf9b009143e5041a0cfc89724c7">
  <xsd:schema xmlns:xsd="http://www.w3.org/2001/XMLSchema" xmlns:xs="http://www.w3.org/2001/XMLSchema" xmlns:p="http://schemas.microsoft.com/office/2006/metadata/properties" xmlns:ns2="b0da1c86-8894-463b-b78a-8a69fb479e1b" xmlns:ns3="778bb1da-c85f-4913-9536-442e7c43ebde" targetNamespace="http://schemas.microsoft.com/office/2006/metadata/properties" ma:root="true" ma:fieldsID="a5137f4c557bc49c8cc8c322452ba240" ns2:_="" ns3:_="">
    <xsd:import namespace="b0da1c86-8894-463b-b78a-8a69fb479e1b"/>
    <xsd:import namespace="778bb1da-c85f-4913-9536-442e7c43eb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a1c86-8894-463b-b78a-8a69fb479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bb1da-c85f-4913-9536-442e7c43ebd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b040f7-1bfe-4456-8fe3-da747cb85403}" ma:internalName="TaxCatchAll" ma:showField="CatchAllData" ma:web="778bb1da-c85f-4913-9536-442e7c43eb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8bb1da-c85f-4913-9536-442e7c43ebde"/>
    <lcf76f155ced4ddcb4097134ff3c332f xmlns="b0da1c86-8894-463b-b78a-8a69fb479e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8F3449-F5F4-4875-8DA1-DCBC7AB4E6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da1c86-8894-463b-b78a-8a69fb479e1b"/>
    <ds:schemaRef ds:uri="778bb1da-c85f-4913-9536-442e7c43eb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2B2A0E-0774-4D03-9651-BABB75CE23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8E9500-BA01-482C-BD4F-410FF4C3593C}">
  <ds:schemaRefs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b0da1c86-8894-463b-b78a-8a69fb479e1b"/>
    <ds:schemaRef ds:uri="778bb1da-c85f-4913-9536-442e7c43ebd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BOM</vt:lpstr>
      <vt:lpstr>PCB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Ottaviano, Anthony Valentine</dc:creator>
  <cp:lastModifiedBy>Ottaviano, Anthony Valentine</cp:lastModifiedBy>
  <dcterms:created xsi:type="dcterms:W3CDTF">2026-04-30T13:06:20Z</dcterms:created>
  <dcterms:modified xsi:type="dcterms:W3CDTF">2026-04-30T13:12:46Z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0x01010089511EAA3DB438489C18CB6C4293CF07</vt:lpwstr>
  </property>
</Properties>
</file>